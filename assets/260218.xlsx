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test/1530/"/>
    </mc:Choice>
  </mc:AlternateContent>
  <xr:revisionPtr revIDLastSave="0" documentId="8_{5DE0BBF9-D20F-1E4D-A9E6-894964F04C12}" xr6:coauthVersionLast="47" xr6:coauthVersionMax="47" xr10:uidLastSave="{00000000-0000-0000-0000-000000000000}"/>
  <bookViews>
    <workbookView xWindow="0" yWindow="760" windowWidth="18620" windowHeight="16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5" i="1" l="1"/>
  <c r="J345" i="1"/>
  <c r="H345" i="1"/>
  <c r="L344" i="1"/>
  <c r="J344" i="1"/>
  <c r="H344" i="1"/>
  <c r="L343" i="1"/>
  <c r="J343" i="1"/>
  <c r="H343" i="1"/>
  <c r="L342" i="1"/>
  <c r="J342" i="1"/>
  <c r="H342" i="1"/>
  <c r="M342" i="1" s="1"/>
  <c r="L341" i="1"/>
  <c r="J341" i="1"/>
  <c r="H341" i="1"/>
  <c r="M341" i="1" s="1"/>
  <c r="L340" i="1"/>
  <c r="J340" i="1"/>
  <c r="H340" i="1"/>
  <c r="L339" i="1"/>
  <c r="J339" i="1"/>
  <c r="H339" i="1"/>
  <c r="M339" i="1" s="1"/>
  <c r="L338" i="1"/>
  <c r="J338" i="1"/>
  <c r="H338" i="1"/>
  <c r="M338" i="1" s="1"/>
  <c r="L337" i="1"/>
  <c r="J337" i="1"/>
  <c r="H337" i="1"/>
  <c r="L336" i="1"/>
  <c r="J336" i="1"/>
  <c r="H336" i="1"/>
  <c r="L335" i="1"/>
  <c r="J335" i="1"/>
  <c r="H335" i="1"/>
  <c r="L334" i="1"/>
  <c r="J334" i="1"/>
  <c r="H334" i="1"/>
  <c r="M334" i="1" s="1"/>
  <c r="L333" i="1"/>
  <c r="J333" i="1"/>
  <c r="H333" i="1"/>
  <c r="M333" i="1" s="1"/>
  <c r="L332" i="1"/>
  <c r="J332" i="1"/>
  <c r="H332" i="1"/>
  <c r="L331" i="1"/>
  <c r="J331" i="1"/>
  <c r="H331" i="1"/>
  <c r="M331" i="1" s="1"/>
  <c r="L330" i="1"/>
  <c r="J330" i="1"/>
  <c r="H330" i="1"/>
  <c r="L329" i="1"/>
  <c r="J329" i="1"/>
  <c r="H329" i="1"/>
  <c r="L328" i="1"/>
  <c r="J328" i="1"/>
  <c r="H328" i="1"/>
  <c r="L327" i="1"/>
  <c r="J327" i="1"/>
  <c r="H327" i="1"/>
  <c r="L326" i="1"/>
  <c r="J326" i="1"/>
  <c r="H326" i="1"/>
  <c r="M326" i="1" s="1"/>
  <c r="L325" i="1"/>
  <c r="J325" i="1"/>
  <c r="H325" i="1"/>
  <c r="M325" i="1" s="1"/>
  <c r="L324" i="1"/>
  <c r="J324" i="1"/>
  <c r="H324" i="1"/>
  <c r="L323" i="1"/>
  <c r="J323" i="1"/>
  <c r="H323" i="1"/>
  <c r="M323" i="1" s="1"/>
  <c r="L316" i="1"/>
  <c r="J316" i="1"/>
  <c r="H316" i="1"/>
  <c r="M316" i="1" s="1"/>
  <c r="L315" i="1"/>
  <c r="J315" i="1"/>
  <c r="H315" i="1"/>
  <c r="L314" i="1"/>
  <c r="J314" i="1"/>
  <c r="H314" i="1"/>
  <c r="L313" i="1"/>
  <c r="J313" i="1"/>
  <c r="H313" i="1"/>
  <c r="L312" i="1"/>
  <c r="J312" i="1"/>
  <c r="H312" i="1"/>
  <c r="M312" i="1" s="1"/>
  <c r="L311" i="1"/>
  <c r="J311" i="1"/>
  <c r="H311" i="1"/>
  <c r="M311" i="1" s="1"/>
  <c r="L310" i="1"/>
  <c r="J310" i="1"/>
  <c r="H310" i="1"/>
  <c r="L309" i="1"/>
  <c r="J309" i="1"/>
  <c r="H309" i="1"/>
  <c r="M309" i="1" s="1"/>
  <c r="L308" i="1"/>
  <c r="J308" i="1"/>
  <c r="H308" i="1"/>
  <c r="M308" i="1" s="1"/>
  <c r="L307" i="1"/>
  <c r="J307" i="1"/>
  <c r="H307" i="1"/>
  <c r="L306" i="1"/>
  <c r="J306" i="1"/>
  <c r="H306" i="1"/>
  <c r="L305" i="1"/>
  <c r="J305" i="1"/>
  <c r="H305" i="1"/>
  <c r="L304" i="1"/>
  <c r="J304" i="1"/>
  <c r="H304" i="1"/>
  <c r="M304" i="1" s="1"/>
  <c r="L303" i="1"/>
  <c r="J303" i="1"/>
  <c r="H303" i="1"/>
  <c r="M303" i="1" s="1"/>
  <c r="L302" i="1"/>
  <c r="J302" i="1"/>
  <c r="H302" i="1"/>
  <c r="L301" i="1"/>
  <c r="J301" i="1"/>
  <c r="H301" i="1"/>
  <c r="M301" i="1" s="1"/>
  <c r="L300" i="1"/>
  <c r="J300" i="1"/>
  <c r="H300" i="1"/>
  <c r="M300" i="1" s="1"/>
  <c r="L299" i="1"/>
  <c r="J299" i="1"/>
  <c r="H299" i="1"/>
  <c r="L298" i="1"/>
  <c r="J298" i="1"/>
  <c r="H298" i="1"/>
  <c r="M298" i="1" s="1"/>
  <c r="L297" i="1"/>
  <c r="J297" i="1"/>
  <c r="H297" i="1"/>
  <c r="L296" i="1"/>
  <c r="J296" i="1"/>
  <c r="H296" i="1"/>
  <c r="M296" i="1" s="1"/>
  <c r="L295" i="1"/>
  <c r="J295" i="1"/>
  <c r="H295" i="1"/>
  <c r="M295" i="1" s="1"/>
  <c r="L294" i="1"/>
  <c r="L317" i="1" s="1"/>
  <c r="J294" i="1"/>
  <c r="H294" i="1"/>
  <c r="L287" i="1"/>
  <c r="J287" i="1"/>
  <c r="H287" i="1"/>
  <c r="M287" i="1" s="1"/>
  <c r="L286" i="1"/>
  <c r="J286" i="1"/>
  <c r="H286" i="1"/>
  <c r="M286" i="1" s="1"/>
  <c r="L285" i="1"/>
  <c r="J285" i="1"/>
  <c r="H285" i="1"/>
  <c r="L284" i="1"/>
  <c r="J284" i="1"/>
  <c r="H284" i="1"/>
  <c r="M284" i="1" s="1"/>
  <c r="L283" i="1"/>
  <c r="J283" i="1"/>
  <c r="H283" i="1"/>
  <c r="L282" i="1"/>
  <c r="J282" i="1"/>
  <c r="H282" i="1"/>
  <c r="M282" i="1" s="1"/>
  <c r="L281" i="1"/>
  <c r="J281" i="1"/>
  <c r="H281" i="1"/>
  <c r="M281" i="1" s="1"/>
  <c r="L280" i="1"/>
  <c r="J280" i="1"/>
  <c r="H280" i="1"/>
  <c r="L279" i="1"/>
  <c r="J279" i="1"/>
  <c r="H279" i="1"/>
  <c r="M279" i="1" s="1"/>
  <c r="L278" i="1"/>
  <c r="J278" i="1"/>
  <c r="H278" i="1"/>
  <c r="M278" i="1" s="1"/>
  <c r="L277" i="1"/>
  <c r="J277" i="1"/>
  <c r="H277" i="1"/>
  <c r="L276" i="1"/>
  <c r="J276" i="1"/>
  <c r="H276" i="1"/>
  <c r="M276" i="1" s="1"/>
  <c r="L275" i="1"/>
  <c r="J275" i="1"/>
  <c r="H275" i="1"/>
  <c r="L274" i="1"/>
  <c r="J274" i="1"/>
  <c r="H274" i="1"/>
  <c r="M274" i="1" s="1"/>
  <c r="L273" i="1"/>
  <c r="J273" i="1"/>
  <c r="H273" i="1"/>
  <c r="M273" i="1" s="1"/>
  <c r="L272" i="1"/>
  <c r="J272" i="1"/>
  <c r="H272" i="1"/>
  <c r="L271" i="1"/>
  <c r="J271" i="1"/>
  <c r="H271" i="1"/>
  <c r="M271" i="1" s="1"/>
  <c r="L270" i="1"/>
  <c r="J270" i="1"/>
  <c r="H270" i="1"/>
  <c r="M270" i="1" s="1"/>
  <c r="L269" i="1"/>
  <c r="J269" i="1"/>
  <c r="H269" i="1"/>
  <c r="L268" i="1"/>
  <c r="J268" i="1"/>
  <c r="H268" i="1"/>
  <c r="M268" i="1" s="1"/>
  <c r="L267" i="1"/>
  <c r="J267" i="1"/>
  <c r="H267" i="1"/>
  <c r="L266" i="1"/>
  <c r="J266" i="1"/>
  <c r="H266" i="1"/>
  <c r="M266" i="1" s="1"/>
  <c r="L265" i="1"/>
  <c r="J265" i="1"/>
  <c r="H265" i="1"/>
  <c r="L258" i="1"/>
  <c r="J258" i="1"/>
  <c r="H258" i="1"/>
  <c r="L257" i="1"/>
  <c r="J257" i="1"/>
  <c r="H257" i="1"/>
  <c r="M257" i="1" s="1"/>
  <c r="L256" i="1"/>
  <c r="J256" i="1"/>
  <c r="H256" i="1"/>
  <c r="M256" i="1" s="1"/>
  <c r="L255" i="1"/>
  <c r="J255" i="1"/>
  <c r="H255" i="1"/>
  <c r="L254" i="1"/>
  <c r="J254" i="1"/>
  <c r="H254" i="1"/>
  <c r="M254" i="1" s="1"/>
  <c r="L253" i="1"/>
  <c r="J253" i="1"/>
  <c r="H253" i="1"/>
  <c r="L252" i="1"/>
  <c r="J252" i="1"/>
  <c r="H252" i="1"/>
  <c r="M252" i="1" s="1"/>
  <c r="L251" i="1"/>
  <c r="J251" i="1"/>
  <c r="H251" i="1"/>
  <c r="M251" i="1" s="1"/>
  <c r="L250" i="1"/>
  <c r="J250" i="1"/>
  <c r="H250" i="1"/>
  <c r="L249" i="1"/>
  <c r="J249" i="1"/>
  <c r="H249" i="1"/>
  <c r="M249" i="1" s="1"/>
  <c r="L248" i="1"/>
  <c r="J248" i="1"/>
  <c r="H248" i="1"/>
  <c r="M248" i="1" s="1"/>
  <c r="L247" i="1"/>
  <c r="J247" i="1"/>
  <c r="H247" i="1"/>
  <c r="L246" i="1"/>
  <c r="J246" i="1"/>
  <c r="H246" i="1"/>
  <c r="M246" i="1" s="1"/>
  <c r="L245" i="1"/>
  <c r="J245" i="1"/>
  <c r="H245" i="1"/>
  <c r="L244" i="1"/>
  <c r="J244" i="1"/>
  <c r="H244" i="1"/>
  <c r="M244" i="1" s="1"/>
  <c r="L243" i="1"/>
  <c r="J243" i="1"/>
  <c r="H243" i="1"/>
  <c r="M243" i="1" s="1"/>
  <c r="L242" i="1"/>
  <c r="J242" i="1"/>
  <c r="H242" i="1"/>
  <c r="L241" i="1"/>
  <c r="J241" i="1"/>
  <c r="H241" i="1"/>
  <c r="M241" i="1" s="1"/>
  <c r="L240" i="1"/>
  <c r="J240" i="1"/>
  <c r="H240" i="1"/>
  <c r="M240" i="1" s="1"/>
  <c r="L239" i="1"/>
  <c r="J239" i="1"/>
  <c r="H239" i="1"/>
  <c r="L238" i="1"/>
  <c r="J238" i="1"/>
  <c r="H238" i="1"/>
  <c r="M238" i="1" s="1"/>
  <c r="L237" i="1"/>
  <c r="J237" i="1"/>
  <c r="H237" i="1"/>
  <c r="L236" i="1"/>
  <c r="J236" i="1"/>
  <c r="H236" i="1"/>
  <c r="L229" i="1"/>
  <c r="J229" i="1"/>
  <c r="H229" i="1"/>
  <c r="M229" i="1" s="1"/>
  <c r="L228" i="1"/>
  <c r="J228" i="1"/>
  <c r="H228" i="1"/>
  <c r="L227" i="1"/>
  <c r="J227" i="1"/>
  <c r="H227" i="1"/>
  <c r="M227" i="1" s="1"/>
  <c r="L226" i="1"/>
  <c r="J226" i="1"/>
  <c r="H226" i="1"/>
  <c r="M226" i="1" s="1"/>
  <c r="L225" i="1"/>
  <c r="J225" i="1"/>
  <c r="H225" i="1"/>
  <c r="L224" i="1"/>
  <c r="J224" i="1"/>
  <c r="H224" i="1"/>
  <c r="M224" i="1" s="1"/>
  <c r="L223" i="1"/>
  <c r="J223" i="1"/>
  <c r="H223" i="1"/>
  <c r="L222" i="1"/>
  <c r="J222" i="1"/>
  <c r="H222" i="1"/>
  <c r="M222" i="1" s="1"/>
  <c r="L221" i="1"/>
  <c r="J221" i="1"/>
  <c r="H221" i="1"/>
  <c r="M221" i="1" s="1"/>
  <c r="L220" i="1"/>
  <c r="J220" i="1"/>
  <c r="H220" i="1"/>
  <c r="L219" i="1"/>
  <c r="J219" i="1"/>
  <c r="H219" i="1"/>
  <c r="M219" i="1" s="1"/>
  <c r="L218" i="1"/>
  <c r="J218" i="1"/>
  <c r="H218" i="1"/>
  <c r="M218" i="1" s="1"/>
  <c r="L217" i="1"/>
  <c r="J217" i="1"/>
  <c r="H217" i="1"/>
  <c r="M217" i="1" s="1"/>
  <c r="L216" i="1"/>
  <c r="J216" i="1"/>
  <c r="H216" i="1"/>
  <c r="M216" i="1" s="1"/>
  <c r="L215" i="1"/>
  <c r="J215" i="1"/>
  <c r="H215" i="1"/>
  <c r="L214" i="1"/>
  <c r="J214" i="1"/>
  <c r="H214" i="1"/>
  <c r="M214" i="1" s="1"/>
  <c r="L213" i="1"/>
  <c r="J213" i="1"/>
  <c r="H213" i="1"/>
  <c r="M213" i="1" s="1"/>
  <c r="L212" i="1"/>
  <c r="J212" i="1"/>
  <c r="H212" i="1"/>
  <c r="L211" i="1"/>
  <c r="J211" i="1"/>
  <c r="H211" i="1"/>
  <c r="M211" i="1" s="1"/>
  <c r="L210" i="1"/>
  <c r="J210" i="1"/>
  <c r="H210" i="1"/>
  <c r="M210" i="1" s="1"/>
  <c r="L209" i="1"/>
  <c r="J209" i="1"/>
  <c r="H209" i="1"/>
  <c r="M209" i="1" s="1"/>
  <c r="L208" i="1"/>
  <c r="J208" i="1"/>
  <c r="H208" i="1"/>
  <c r="M208" i="1" s="1"/>
  <c r="L207" i="1"/>
  <c r="J207" i="1"/>
  <c r="J230" i="1" s="1"/>
  <c r="H207" i="1"/>
  <c r="L200" i="1"/>
  <c r="J200" i="1"/>
  <c r="H200" i="1"/>
  <c r="M200" i="1" s="1"/>
  <c r="L199" i="1"/>
  <c r="J199" i="1"/>
  <c r="H199" i="1"/>
  <c r="M199" i="1" s="1"/>
  <c r="L198" i="1"/>
  <c r="J198" i="1"/>
  <c r="H198" i="1"/>
  <c r="L197" i="1"/>
  <c r="J197" i="1"/>
  <c r="H197" i="1"/>
  <c r="M197" i="1" s="1"/>
  <c r="L196" i="1"/>
  <c r="J196" i="1"/>
  <c r="H196" i="1"/>
  <c r="M196" i="1" s="1"/>
  <c r="L195" i="1"/>
  <c r="J195" i="1"/>
  <c r="H195" i="1"/>
  <c r="M195" i="1" s="1"/>
  <c r="L194" i="1"/>
  <c r="J194" i="1"/>
  <c r="H194" i="1"/>
  <c r="M194" i="1" s="1"/>
  <c r="L193" i="1"/>
  <c r="J193" i="1"/>
  <c r="H193" i="1"/>
  <c r="L192" i="1"/>
  <c r="J192" i="1"/>
  <c r="H192" i="1"/>
  <c r="M192" i="1" s="1"/>
  <c r="L191" i="1"/>
  <c r="J191" i="1"/>
  <c r="H191" i="1"/>
  <c r="M191" i="1" s="1"/>
  <c r="L190" i="1"/>
  <c r="J190" i="1"/>
  <c r="H190" i="1"/>
  <c r="L189" i="1"/>
  <c r="J189" i="1"/>
  <c r="H189" i="1"/>
  <c r="M189" i="1" s="1"/>
  <c r="L188" i="1"/>
  <c r="J188" i="1"/>
  <c r="H188" i="1"/>
  <c r="M188" i="1" s="1"/>
  <c r="L187" i="1"/>
  <c r="J187" i="1"/>
  <c r="H187" i="1"/>
  <c r="M187" i="1" s="1"/>
  <c r="L186" i="1"/>
  <c r="J186" i="1"/>
  <c r="H186" i="1"/>
  <c r="M186" i="1" s="1"/>
  <c r="L185" i="1"/>
  <c r="J185" i="1"/>
  <c r="H185" i="1"/>
  <c r="L184" i="1"/>
  <c r="J184" i="1"/>
  <c r="H184" i="1"/>
  <c r="M184" i="1" s="1"/>
  <c r="L183" i="1"/>
  <c r="J183" i="1"/>
  <c r="H183" i="1"/>
  <c r="M183" i="1" s="1"/>
  <c r="L182" i="1"/>
  <c r="J182" i="1"/>
  <c r="H182" i="1"/>
  <c r="L181" i="1"/>
  <c r="J181" i="1"/>
  <c r="H181" i="1"/>
  <c r="M181" i="1" s="1"/>
  <c r="L180" i="1"/>
  <c r="J180" i="1"/>
  <c r="H180" i="1"/>
  <c r="M180" i="1" s="1"/>
  <c r="L179" i="1"/>
  <c r="J179" i="1"/>
  <c r="H179" i="1"/>
  <c r="M179" i="1" s="1"/>
  <c r="L178" i="1"/>
  <c r="J178" i="1"/>
  <c r="H178" i="1"/>
  <c r="M178" i="1" s="1"/>
  <c r="L171" i="1"/>
  <c r="J171" i="1"/>
  <c r="H171" i="1"/>
  <c r="L170" i="1"/>
  <c r="J170" i="1"/>
  <c r="H170" i="1"/>
  <c r="M170" i="1" s="1"/>
  <c r="L169" i="1"/>
  <c r="J169" i="1"/>
  <c r="H169" i="1"/>
  <c r="M169" i="1" s="1"/>
  <c r="L168" i="1"/>
  <c r="J168" i="1"/>
  <c r="H168" i="1"/>
  <c r="L167" i="1"/>
  <c r="J167" i="1"/>
  <c r="H167" i="1"/>
  <c r="M167" i="1" s="1"/>
  <c r="L166" i="1"/>
  <c r="J166" i="1"/>
  <c r="H166" i="1"/>
  <c r="M166" i="1" s="1"/>
  <c r="L165" i="1"/>
  <c r="J165" i="1"/>
  <c r="H165" i="1"/>
  <c r="M165" i="1" s="1"/>
  <c r="L164" i="1"/>
  <c r="J164" i="1"/>
  <c r="H164" i="1"/>
  <c r="M164" i="1" s="1"/>
  <c r="L163" i="1"/>
  <c r="J163" i="1"/>
  <c r="H163" i="1"/>
  <c r="L162" i="1"/>
  <c r="J162" i="1"/>
  <c r="H162" i="1"/>
  <c r="M162" i="1" s="1"/>
  <c r="L161" i="1"/>
  <c r="J161" i="1"/>
  <c r="H161" i="1"/>
  <c r="M161" i="1" s="1"/>
  <c r="L160" i="1"/>
  <c r="J160" i="1"/>
  <c r="H160" i="1"/>
  <c r="L159" i="1"/>
  <c r="J159" i="1"/>
  <c r="H159" i="1"/>
  <c r="M159" i="1" s="1"/>
  <c r="L158" i="1"/>
  <c r="J158" i="1"/>
  <c r="H158" i="1"/>
  <c r="M158" i="1" s="1"/>
  <c r="L157" i="1"/>
  <c r="J157" i="1"/>
  <c r="H157" i="1"/>
  <c r="M157" i="1" s="1"/>
  <c r="L156" i="1"/>
  <c r="J156" i="1"/>
  <c r="H156" i="1"/>
  <c r="M156" i="1" s="1"/>
  <c r="L155" i="1"/>
  <c r="J155" i="1"/>
  <c r="H155" i="1"/>
  <c r="L154" i="1"/>
  <c r="J154" i="1"/>
  <c r="H154" i="1"/>
  <c r="M154" i="1" s="1"/>
  <c r="L153" i="1"/>
  <c r="J153" i="1"/>
  <c r="H153" i="1"/>
  <c r="M153" i="1" s="1"/>
  <c r="L152" i="1"/>
  <c r="J152" i="1"/>
  <c r="H152" i="1"/>
  <c r="L151" i="1"/>
  <c r="J151" i="1"/>
  <c r="H151" i="1"/>
  <c r="M151" i="1" s="1"/>
  <c r="L150" i="1"/>
  <c r="J150" i="1"/>
  <c r="H150" i="1"/>
  <c r="M150" i="1" s="1"/>
  <c r="L149" i="1"/>
  <c r="J149" i="1"/>
  <c r="H149" i="1"/>
  <c r="L142" i="1"/>
  <c r="J142" i="1"/>
  <c r="H142" i="1"/>
  <c r="M142" i="1" s="1"/>
  <c r="L141" i="1"/>
  <c r="J141" i="1"/>
  <c r="H141" i="1"/>
  <c r="L140" i="1"/>
  <c r="J140" i="1"/>
  <c r="H140" i="1"/>
  <c r="L139" i="1"/>
  <c r="J139" i="1"/>
  <c r="H139" i="1"/>
  <c r="M139" i="1" s="1"/>
  <c r="L138" i="1"/>
  <c r="J138" i="1"/>
  <c r="H138" i="1"/>
  <c r="L137" i="1"/>
  <c r="J137" i="1"/>
  <c r="H137" i="1"/>
  <c r="M137" i="1" s="1"/>
  <c r="L136" i="1"/>
  <c r="J136" i="1"/>
  <c r="H136" i="1"/>
  <c r="M136" i="1" s="1"/>
  <c r="L135" i="1"/>
  <c r="J135" i="1"/>
  <c r="H135" i="1"/>
  <c r="L134" i="1"/>
  <c r="J134" i="1"/>
  <c r="H134" i="1"/>
  <c r="M134" i="1" s="1"/>
  <c r="L133" i="1"/>
  <c r="J133" i="1"/>
  <c r="H133" i="1"/>
  <c r="L132" i="1"/>
  <c r="J132" i="1"/>
  <c r="H132" i="1"/>
  <c r="L131" i="1"/>
  <c r="J131" i="1"/>
  <c r="H131" i="1"/>
  <c r="M131" i="1" s="1"/>
  <c r="L130" i="1"/>
  <c r="J130" i="1"/>
  <c r="H130" i="1"/>
  <c r="L129" i="1"/>
  <c r="J129" i="1"/>
  <c r="H129" i="1"/>
  <c r="L128" i="1"/>
  <c r="J128" i="1"/>
  <c r="H128" i="1"/>
  <c r="M128" i="1" s="1"/>
  <c r="L127" i="1"/>
  <c r="J127" i="1"/>
  <c r="H127" i="1"/>
  <c r="L126" i="1"/>
  <c r="J126" i="1"/>
  <c r="H126" i="1"/>
  <c r="M126" i="1" s="1"/>
  <c r="L125" i="1"/>
  <c r="J125" i="1"/>
  <c r="H125" i="1"/>
  <c r="L124" i="1"/>
  <c r="J124" i="1"/>
  <c r="H124" i="1"/>
  <c r="M124" i="1" s="1"/>
  <c r="L123" i="1"/>
  <c r="J123" i="1"/>
  <c r="H123" i="1"/>
  <c r="M123" i="1" s="1"/>
  <c r="L122" i="1"/>
  <c r="J122" i="1"/>
  <c r="H122" i="1"/>
  <c r="L121" i="1"/>
  <c r="J121" i="1"/>
  <c r="H121" i="1"/>
  <c r="M121" i="1" s="1"/>
  <c r="L120" i="1"/>
  <c r="J120" i="1"/>
  <c r="H120" i="1"/>
  <c r="L113" i="1"/>
  <c r="J113" i="1"/>
  <c r="H113" i="1"/>
  <c r="L112" i="1"/>
  <c r="J112" i="1"/>
  <c r="H112" i="1"/>
  <c r="M112" i="1" s="1"/>
  <c r="L111" i="1"/>
  <c r="J111" i="1"/>
  <c r="H111" i="1"/>
  <c r="L110" i="1"/>
  <c r="J110" i="1"/>
  <c r="H110" i="1"/>
  <c r="M110" i="1" s="1"/>
  <c r="L109" i="1"/>
  <c r="J109" i="1"/>
  <c r="H109" i="1"/>
  <c r="M109" i="1" s="1"/>
  <c r="L108" i="1"/>
  <c r="J108" i="1"/>
  <c r="H108" i="1"/>
  <c r="L107" i="1"/>
  <c r="J107" i="1"/>
  <c r="H107" i="1"/>
  <c r="M107" i="1" s="1"/>
  <c r="L106" i="1"/>
  <c r="J106" i="1"/>
  <c r="H106" i="1"/>
  <c r="M106" i="1" s="1"/>
  <c r="L105" i="1"/>
  <c r="J105" i="1"/>
  <c r="H105" i="1"/>
  <c r="L104" i="1"/>
  <c r="J104" i="1"/>
  <c r="H104" i="1"/>
  <c r="M104" i="1" s="1"/>
  <c r="L103" i="1"/>
  <c r="J103" i="1"/>
  <c r="H103" i="1"/>
  <c r="L102" i="1"/>
  <c r="J102" i="1"/>
  <c r="H102" i="1"/>
  <c r="L101" i="1"/>
  <c r="J101" i="1"/>
  <c r="H101" i="1"/>
  <c r="L100" i="1"/>
  <c r="J100" i="1"/>
  <c r="H100" i="1"/>
  <c r="L99" i="1"/>
  <c r="J99" i="1"/>
  <c r="H99" i="1"/>
  <c r="L98" i="1"/>
  <c r="J98" i="1"/>
  <c r="H98" i="1"/>
  <c r="M98" i="1" s="1"/>
  <c r="L97" i="1"/>
  <c r="J97" i="1"/>
  <c r="H97" i="1"/>
  <c r="L96" i="1"/>
  <c r="J96" i="1"/>
  <c r="H96" i="1"/>
  <c r="L95" i="1"/>
  <c r="J95" i="1"/>
  <c r="H95" i="1"/>
  <c r="L94" i="1"/>
  <c r="J94" i="1"/>
  <c r="H94" i="1"/>
  <c r="L93" i="1"/>
  <c r="J93" i="1"/>
  <c r="H93" i="1"/>
  <c r="M93" i="1" s="1"/>
  <c r="L92" i="1"/>
  <c r="J92" i="1"/>
  <c r="H92" i="1"/>
  <c r="L91" i="1"/>
  <c r="J91" i="1"/>
  <c r="H91" i="1"/>
  <c r="M330" i="1" l="1"/>
  <c r="M306" i="1"/>
  <c r="M314" i="1"/>
  <c r="M328" i="1"/>
  <c r="M336" i="1"/>
  <c r="M344" i="1"/>
  <c r="J201" i="1"/>
  <c r="J288" i="1"/>
  <c r="M94" i="1"/>
  <c r="M140" i="1"/>
  <c r="L201" i="1"/>
  <c r="H259" i="1"/>
  <c r="J346" i="1"/>
  <c r="M105" i="1"/>
  <c r="M113" i="1"/>
  <c r="M135" i="1"/>
  <c r="M149" i="1"/>
  <c r="M225" i="1"/>
  <c r="J259" i="1"/>
  <c r="M239" i="1"/>
  <c r="M247" i="1"/>
  <c r="M255" i="1"/>
  <c r="M269" i="1"/>
  <c r="M277" i="1"/>
  <c r="M285" i="1"/>
  <c r="M299" i="1"/>
  <c r="M307" i="1"/>
  <c r="M315" i="1"/>
  <c r="L346" i="1"/>
  <c r="M329" i="1"/>
  <c r="M337" i="1"/>
  <c r="M345" i="1"/>
  <c r="L288" i="1"/>
  <c r="M100" i="1"/>
  <c r="M108" i="1"/>
  <c r="M122" i="1"/>
  <c r="M138" i="1"/>
  <c r="J172" i="1"/>
  <c r="M152" i="1"/>
  <c r="M172" i="1" s="1"/>
  <c r="M160" i="1"/>
  <c r="M168" i="1"/>
  <c r="M182" i="1"/>
  <c r="M201" i="1" s="1"/>
  <c r="M190" i="1"/>
  <c r="M198" i="1"/>
  <c r="M212" i="1"/>
  <c r="M220" i="1"/>
  <c r="M228" i="1"/>
  <c r="L259" i="1"/>
  <c r="M242" i="1"/>
  <c r="M250" i="1"/>
  <c r="M258" i="1"/>
  <c r="M272" i="1"/>
  <c r="M280" i="1"/>
  <c r="H317" i="1"/>
  <c r="M302" i="1"/>
  <c r="M310" i="1"/>
  <c r="M324" i="1"/>
  <c r="M332" i="1"/>
  <c r="M340" i="1"/>
  <c r="L230" i="1"/>
  <c r="H288" i="1"/>
  <c r="M111" i="1"/>
  <c r="M125" i="1"/>
  <c r="M133" i="1"/>
  <c r="M141" i="1"/>
  <c r="L172" i="1"/>
  <c r="M155" i="1"/>
  <c r="M163" i="1"/>
  <c r="M171" i="1"/>
  <c r="M185" i="1"/>
  <c r="M193" i="1"/>
  <c r="M207" i="1"/>
  <c r="M230" i="1" s="1"/>
  <c r="M215" i="1"/>
  <c r="M223" i="1"/>
  <c r="M237" i="1"/>
  <c r="M245" i="1"/>
  <c r="M253" i="1"/>
  <c r="M267" i="1"/>
  <c r="M275" i="1"/>
  <c r="M283" i="1"/>
  <c r="J317" i="1"/>
  <c r="M297" i="1"/>
  <c r="M305" i="1"/>
  <c r="M313" i="1"/>
  <c r="M327" i="1"/>
  <c r="M346" i="1" s="1"/>
  <c r="M335" i="1"/>
  <c r="M343" i="1"/>
  <c r="M132" i="1"/>
  <c r="M130" i="1"/>
  <c r="M129" i="1"/>
  <c r="M127" i="1"/>
  <c r="H143" i="1"/>
  <c r="J143" i="1"/>
  <c r="L143" i="1"/>
  <c r="M101" i="1"/>
  <c r="M102" i="1"/>
  <c r="M103" i="1"/>
  <c r="M99" i="1"/>
  <c r="M97" i="1"/>
  <c r="H114" i="1"/>
  <c r="M96" i="1"/>
  <c r="M95" i="1"/>
  <c r="J114" i="1"/>
  <c r="L114" i="1"/>
  <c r="M92" i="1"/>
  <c r="H346" i="1"/>
  <c r="M294" i="1"/>
  <c r="M265" i="1"/>
  <c r="M236" i="1"/>
  <c r="M259" i="1" s="1"/>
  <c r="H230" i="1"/>
  <c r="H201" i="1"/>
  <c r="H172" i="1"/>
  <c r="M120" i="1"/>
  <c r="M91" i="1"/>
  <c r="H62" i="1"/>
  <c r="J62" i="1"/>
  <c r="L62" i="1"/>
  <c r="H63" i="1"/>
  <c r="J63" i="1"/>
  <c r="L63" i="1"/>
  <c r="H64" i="1"/>
  <c r="J64" i="1"/>
  <c r="L64" i="1"/>
  <c r="M64" i="1" s="1"/>
  <c r="H65" i="1"/>
  <c r="J65" i="1"/>
  <c r="L65" i="1"/>
  <c r="H66" i="1"/>
  <c r="J66" i="1"/>
  <c r="L66" i="1"/>
  <c r="H67" i="1"/>
  <c r="M67" i="1" s="1"/>
  <c r="J67" i="1"/>
  <c r="L67" i="1"/>
  <c r="H68" i="1"/>
  <c r="J68" i="1"/>
  <c r="L68" i="1"/>
  <c r="H69" i="1"/>
  <c r="M69" i="1" s="1"/>
  <c r="J69" i="1"/>
  <c r="L69" i="1"/>
  <c r="H70" i="1"/>
  <c r="J70" i="1"/>
  <c r="L70" i="1"/>
  <c r="H71" i="1"/>
  <c r="J71" i="1"/>
  <c r="L71" i="1"/>
  <c r="H72" i="1"/>
  <c r="M72" i="1" s="1"/>
  <c r="J72" i="1"/>
  <c r="L72" i="1"/>
  <c r="H73" i="1"/>
  <c r="J73" i="1"/>
  <c r="L73" i="1"/>
  <c r="H74" i="1"/>
  <c r="J74" i="1"/>
  <c r="L74" i="1"/>
  <c r="H75" i="1"/>
  <c r="J75" i="1"/>
  <c r="L75" i="1"/>
  <c r="H76" i="1"/>
  <c r="J76" i="1"/>
  <c r="L76" i="1"/>
  <c r="M76" i="1"/>
  <c r="H77" i="1"/>
  <c r="J77" i="1"/>
  <c r="L77" i="1"/>
  <c r="H78" i="1"/>
  <c r="J78" i="1"/>
  <c r="L78" i="1"/>
  <c r="H79" i="1"/>
  <c r="J79" i="1"/>
  <c r="L79" i="1"/>
  <c r="H80" i="1"/>
  <c r="J80" i="1"/>
  <c r="L80" i="1"/>
  <c r="H81" i="1"/>
  <c r="J81" i="1"/>
  <c r="L81" i="1"/>
  <c r="H82" i="1"/>
  <c r="J82" i="1"/>
  <c r="L82" i="1"/>
  <c r="H83" i="1"/>
  <c r="J83" i="1"/>
  <c r="L83" i="1"/>
  <c r="H84" i="1"/>
  <c r="J84" i="1"/>
  <c r="L84" i="1"/>
  <c r="M143" i="1" l="1"/>
  <c r="M66" i="1"/>
  <c r="M288" i="1"/>
  <c r="M317" i="1"/>
  <c r="M114" i="1"/>
  <c r="M70" i="1"/>
  <c r="M65" i="1"/>
  <c r="M63" i="1"/>
  <c r="M79" i="1"/>
  <c r="M82" i="1"/>
  <c r="M73" i="1"/>
  <c r="M84" i="1"/>
  <c r="M62" i="1"/>
  <c r="M68" i="1"/>
  <c r="J85" i="1"/>
  <c r="M74" i="1"/>
  <c r="M80" i="1"/>
  <c r="M78" i="1"/>
  <c r="M77" i="1"/>
  <c r="M81" i="1"/>
  <c r="M83" i="1"/>
  <c r="M71" i="1"/>
  <c r="H85" i="1"/>
  <c r="M75" i="1"/>
  <c r="L85" i="1"/>
  <c r="I46" i="1"/>
  <c r="I51" i="1"/>
  <c r="I48" i="1"/>
  <c r="I54" i="1"/>
  <c r="I47" i="1"/>
  <c r="I49" i="1"/>
  <c r="I50" i="1"/>
  <c r="I52" i="1"/>
  <c r="I53" i="1"/>
  <c r="I55" i="1"/>
  <c r="M85" i="1" l="1"/>
  <c r="I45" i="1"/>
  <c r="K56" i="1" l="1"/>
</calcChain>
</file>

<file path=xl/sharedStrings.xml><?xml version="1.0" encoding="utf-8"?>
<sst xmlns="http://schemas.openxmlformats.org/spreadsheetml/2006/main" count="315" uniqueCount="121">
  <si>
    <t>대 표 이 사 :</t>
    <phoneticPr fontId="1" type="noConversion"/>
  </si>
  <si>
    <t>상         호 :</t>
    <phoneticPr fontId="1" type="noConversion"/>
  </si>
  <si>
    <t>연   락   처 :</t>
    <phoneticPr fontId="1" type="noConversion"/>
  </si>
  <si>
    <t>주         소 :</t>
    <phoneticPr fontId="1" type="noConversion"/>
  </si>
  <si>
    <t xml:space="preserve"> 김 정 은</t>
    <phoneticPr fontId="1" type="noConversion"/>
  </si>
  <si>
    <t xml:space="preserve"> 상가동 C-207호</t>
    <phoneticPr fontId="1" type="noConversion"/>
  </si>
  <si>
    <t xml:space="preserve"> 경기도 고양시 일산동구 중앙로 1130</t>
    <phoneticPr fontId="1" type="noConversion"/>
  </si>
  <si>
    <t>TEL 070 - 8856 - 1914</t>
    <phoneticPr fontId="1" type="noConversion"/>
  </si>
  <si>
    <t>FAX 02 - 6021 - 4462</t>
    <phoneticPr fontId="1" type="noConversion"/>
  </si>
  <si>
    <t>견  적  내  역  서</t>
    <phoneticPr fontId="1" type="noConversion"/>
  </si>
  <si>
    <t>공 사 금 액</t>
    <phoneticPr fontId="1" type="noConversion"/>
  </si>
  <si>
    <t>공   사   명</t>
    <phoneticPr fontId="1" type="noConversion"/>
  </si>
  <si>
    <t>특 기 사 항</t>
    <phoneticPr fontId="1" type="noConversion"/>
  </si>
  <si>
    <t>규  격</t>
    <phoneticPr fontId="1" type="noConversion"/>
  </si>
  <si>
    <t>단  위</t>
    <phoneticPr fontId="1" type="noConversion"/>
  </si>
  <si>
    <t>수  량</t>
    <phoneticPr fontId="1" type="noConversion"/>
  </si>
  <si>
    <t>단  가</t>
    <phoneticPr fontId="1" type="noConversion"/>
  </si>
  <si>
    <t>금  액</t>
    <phoneticPr fontId="1" type="noConversion"/>
  </si>
  <si>
    <t>비  고</t>
    <phoneticPr fontId="1" type="noConversion"/>
  </si>
  <si>
    <t>명  칭</t>
    <phoneticPr fontId="1" type="noConversion"/>
  </si>
  <si>
    <t>합계</t>
    <phoneticPr fontId="1" type="noConversion"/>
  </si>
  <si>
    <t>[내 역 서]</t>
    <phoneticPr fontId="1" type="noConversion"/>
  </si>
  <si>
    <t>단가</t>
    <phoneticPr fontId="1" type="noConversion"/>
  </si>
  <si>
    <t>금액</t>
    <phoneticPr fontId="1" type="noConversion"/>
  </si>
  <si>
    <t>품  명</t>
    <phoneticPr fontId="1" type="noConversion"/>
  </si>
  <si>
    <t>경  비</t>
    <phoneticPr fontId="1" type="noConversion"/>
  </si>
  <si>
    <t>재 료 비</t>
    <phoneticPr fontId="1" type="noConversion"/>
  </si>
  <si>
    <t>노 무 비</t>
    <phoneticPr fontId="1" type="noConversion"/>
  </si>
  <si>
    <t>소계</t>
    <phoneticPr fontId="1" type="noConversion"/>
  </si>
  <si>
    <t xml:space="preserve"> </t>
    <phoneticPr fontId="1" type="noConversion"/>
  </si>
  <si>
    <r>
      <t xml:space="preserve">                            (\                              )  </t>
    </r>
    <r>
      <rPr>
        <b/>
        <sz val="11"/>
        <color rgb="FFFF0000"/>
        <rFont val="맑은 고딕"/>
        <family val="3"/>
        <charset val="129"/>
        <scheme val="minor"/>
      </rPr>
      <t>부가세 별도</t>
    </r>
    <phoneticPr fontId="1" type="noConversion"/>
  </si>
  <si>
    <t xml:space="preserve">수신 : </t>
    <phoneticPr fontId="1" type="noConversion"/>
  </si>
  <si>
    <t xml:space="preserve">발신 : </t>
    <phoneticPr fontId="1" type="noConversion"/>
  </si>
  <si>
    <t xml:space="preserve"> 카 라  아 키 텍 츠(KARA Architects)</t>
    <phoneticPr fontId="1" type="noConversion"/>
  </si>
  <si>
    <t>현장 : R.D. 정동진 실장 010-4497-4462</t>
    <phoneticPr fontId="1" type="noConversion"/>
  </si>
  <si>
    <t xml:space="preserve"> 카 라  아 키 텍 츠(KARA Architects)</t>
    <phoneticPr fontId="1" type="noConversion"/>
  </si>
  <si>
    <t>M :미터</t>
    <phoneticPr fontId="1" type="noConversion"/>
  </si>
  <si>
    <t>py :평</t>
    <phoneticPr fontId="1" type="noConversion"/>
  </si>
  <si>
    <t>m² :헤베</t>
    <phoneticPr fontId="1" type="noConversion"/>
  </si>
  <si>
    <t>m³ :부피</t>
    <phoneticPr fontId="1" type="noConversion"/>
  </si>
  <si>
    <t>M/D :인(1일)</t>
    <phoneticPr fontId="1" type="noConversion"/>
  </si>
  <si>
    <t>mm :밀리미터</t>
    <phoneticPr fontId="1" type="noConversion"/>
  </si>
  <si>
    <t>보양 및 가설</t>
    <phoneticPr fontId="1" type="noConversion"/>
  </si>
  <si>
    <t>조적 공사</t>
    <phoneticPr fontId="1" type="noConversion"/>
  </si>
  <si>
    <t>방수 공사</t>
    <phoneticPr fontId="1" type="noConversion"/>
  </si>
  <si>
    <t>미장 공사</t>
    <phoneticPr fontId="1" type="noConversion"/>
  </si>
  <si>
    <t>타일 공사</t>
    <phoneticPr fontId="1" type="noConversion"/>
  </si>
  <si>
    <t>창호 공사</t>
    <phoneticPr fontId="1" type="noConversion"/>
  </si>
  <si>
    <t>수장 공사</t>
    <phoneticPr fontId="1" type="noConversion"/>
  </si>
  <si>
    <t>도장 공사</t>
    <phoneticPr fontId="1" type="noConversion"/>
  </si>
  <si>
    <t>설비 공사</t>
    <phoneticPr fontId="1" type="noConversion"/>
  </si>
  <si>
    <t>기타 가구 설치 공사</t>
    <phoneticPr fontId="1" type="noConversion"/>
  </si>
  <si>
    <t>전기 소장 조명 공사</t>
    <phoneticPr fontId="1" type="noConversion"/>
  </si>
  <si>
    <t>폐기물 처리</t>
    <phoneticPr fontId="1" type="noConversion"/>
  </si>
  <si>
    <t xml:space="preserve">  공 사 명 :  </t>
    <phoneticPr fontId="1" type="noConversion"/>
  </si>
  <si>
    <t>1. 기초 및 현장 정리(안전관리)</t>
    <phoneticPr fontId="1" type="noConversion"/>
  </si>
  <si>
    <t>2. 철거 및 보양(시스템 비계 등)</t>
    <phoneticPr fontId="1" type="noConversion"/>
  </si>
  <si>
    <t>3. 외장공사-외벽면(커튼월 및 징크판낼)</t>
    <phoneticPr fontId="1" type="noConversion"/>
  </si>
  <si>
    <t>4. 외장공사-엘리베이터</t>
    <phoneticPr fontId="1" type="noConversion"/>
  </si>
  <si>
    <t>5. 내장공사-전기 및 내부수장공사</t>
    <phoneticPr fontId="1" type="noConversion"/>
  </si>
  <si>
    <t>6. 공과잡비 및 현장관리</t>
    <phoneticPr fontId="1" type="noConversion"/>
  </si>
  <si>
    <t>7. 기업이윤</t>
    <phoneticPr fontId="1" type="noConversion"/>
  </si>
  <si>
    <t>식</t>
    <phoneticPr fontId="1" type="noConversion"/>
  </si>
  <si>
    <t>1. 기초(현장관리)</t>
    <phoneticPr fontId="1" type="noConversion"/>
  </si>
  <si>
    <t>M/D</t>
    <phoneticPr fontId="1" type="noConversion"/>
  </si>
  <si>
    <t>안전관리 용품 및 배치</t>
    <phoneticPr fontId="1" type="noConversion"/>
  </si>
  <si>
    <t>현장관리</t>
    <phoneticPr fontId="1" type="noConversion"/>
  </si>
  <si>
    <t>폐기물 운반 및 처리</t>
    <phoneticPr fontId="1" type="noConversion"/>
  </si>
  <si>
    <t>&lt;주 1회 배출 및 운반&gt;</t>
    <phoneticPr fontId="1" type="noConversion"/>
  </si>
  <si>
    <t>2. 철거 및 보양</t>
    <phoneticPr fontId="1" type="noConversion"/>
  </si>
  <si>
    <t>조적벽 철거-2면</t>
    <phoneticPr fontId="1" type="noConversion"/>
  </si>
  <si>
    <t>시스템비계</t>
    <phoneticPr fontId="1" type="noConversion"/>
  </si>
  <si>
    <t>day</t>
    <phoneticPr fontId="1" type="noConversion"/>
  </si>
  <si>
    <t>m²</t>
  </si>
  <si>
    <t>m²</t>
    <phoneticPr fontId="1" type="noConversion"/>
  </si>
  <si>
    <t>조적벽 신설-4,5층(면적복원)</t>
    <phoneticPr fontId="1" type="noConversion"/>
  </si>
  <si>
    <t>비산방지 및 철거보양</t>
    <phoneticPr fontId="1" type="noConversion"/>
  </si>
  <si>
    <t>폐기물 운반 및 처리(롤운반)</t>
    <phoneticPr fontId="1" type="noConversion"/>
  </si>
  <si>
    <t>&lt;창호 설치전 민원발생방지 조치-중요&gt;</t>
    <phoneticPr fontId="1" type="noConversion"/>
  </si>
  <si>
    <t>3. 외장공사</t>
    <phoneticPr fontId="1" type="noConversion"/>
  </si>
  <si>
    <t>타일탈락 방지 및 PF보온보강</t>
    <phoneticPr fontId="1" type="noConversion"/>
  </si>
  <si>
    <t>후면(주차장측),좌측(주차장측기준)</t>
    <phoneticPr fontId="1" type="noConversion"/>
  </si>
  <si>
    <t>커튼월 시공-2개면</t>
    <phoneticPr fontId="1" type="noConversion"/>
  </si>
  <si>
    <t>ACW(4 side)-동국제강 알미늄</t>
    <phoneticPr fontId="1" type="noConversion"/>
  </si>
  <si>
    <t>수직연창(통칭 PJ window)</t>
    <phoneticPr fontId="1" type="noConversion"/>
  </si>
  <si>
    <t>EA</t>
    <phoneticPr fontId="1" type="noConversion"/>
  </si>
  <si>
    <t>계단실 AL.수직연창</t>
    <phoneticPr fontId="1" type="noConversion"/>
  </si>
  <si>
    <t>&lt;이하&gt;커튼월 면-창호제작시공</t>
    <phoneticPr fontId="1" type="noConversion"/>
  </si>
  <si>
    <t>배면,화장실면 등 PVC이중창</t>
    <phoneticPr fontId="1" type="noConversion"/>
  </si>
  <si>
    <t>set</t>
    <phoneticPr fontId="1" type="noConversion"/>
  </si>
  <si>
    <t>&lt;1층 폴딩도어 제작-개방형&gt;</t>
    <phoneticPr fontId="1" type="noConversion"/>
  </si>
  <si>
    <t>AL. 프레임 등</t>
    <phoneticPr fontId="1" type="noConversion"/>
  </si>
  <si>
    <t>징크판낼 시공-2개면</t>
    <phoneticPr fontId="1" type="noConversion"/>
  </si>
  <si>
    <t>단, 면 정리 및 코너 마감정리 후</t>
    <phoneticPr fontId="1" type="noConversion"/>
  </si>
  <si>
    <t>저철분 투명유리</t>
    <phoneticPr fontId="1" type="noConversion"/>
  </si>
  <si>
    <t>더블로이(복중)</t>
    <phoneticPr fontId="1" type="noConversion"/>
  </si>
  <si>
    <t>평판 및 코너 징크시공</t>
    <phoneticPr fontId="1" type="noConversion"/>
  </si>
  <si>
    <t>금속하지 포함</t>
    <phoneticPr fontId="1" type="noConversion"/>
  </si>
  <si>
    <t>언더커버 및 최상부 코핑</t>
    <phoneticPr fontId="1" type="noConversion"/>
  </si>
  <si>
    <t>&lt;징크내부 50T 단열재 기준&gt;</t>
    <phoneticPr fontId="1" type="noConversion"/>
  </si>
  <si>
    <t>4.외장공사-엘리베이터</t>
    <phoneticPr fontId="1" type="noConversion"/>
  </si>
  <si>
    <t>21인승 장애인 E/V</t>
    <phoneticPr fontId="1" type="noConversion"/>
  </si>
  <si>
    <t>H-beam 철골공사</t>
    <phoneticPr fontId="1" type="noConversion"/>
  </si>
  <si>
    <t>kg</t>
    <phoneticPr fontId="1" type="noConversion"/>
  </si>
  <si>
    <t>찬낼 및 볼트, 기타 철물 설치공사</t>
    <phoneticPr fontId="1" type="noConversion"/>
  </si>
  <si>
    <t>ton</t>
    <phoneticPr fontId="1" type="noConversion"/>
  </si>
  <si>
    <t>철판가공 및 녹 방청도장</t>
    <phoneticPr fontId="1" type="noConversion"/>
  </si>
  <si>
    <t>1회</t>
    <phoneticPr fontId="1" type="noConversion"/>
  </si>
  <si>
    <t>철골조 기초공사</t>
    <phoneticPr fontId="1" type="noConversion"/>
  </si>
  <si>
    <t>건설기계장비(크레인) 대여</t>
    <phoneticPr fontId="1" type="noConversion"/>
  </si>
  <si>
    <t>무수축몰탈 타설</t>
    <phoneticPr fontId="1" type="noConversion"/>
  </si>
  <si>
    <t>현대엘리베이터 21인승</t>
    <phoneticPr fontId="1" type="noConversion"/>
  </si>
  <si>
    <t>(1~6층)E/V 기계</t>
    <phoneticPr fontId="1" type="noConversion"/>
  </si>
  <si>
    <t>E/V 외장 시스템유리 시공</t>
    <phoneticPr fontId="1" type="noConversion"/>
  </si>
  <si>
    <t>접합유리 규격 13.52T</t>
    <phoneticPr fontId="1" type="noConversion"/>
  </si>
  <si>
    <t>실리콘 코킹</t>
    <phoneticPr fontId="1" type="noConversion"/>
  </si>
  <si>
    <t>M</t>
    <phoneticPr fontId="1" type="noConversion"/>
  </si>
  <si>
    <t>상체고정작업</t>
    <phoneticPr fontId="1" type="noConversion"/>
  </si>
  <si>
    <t>스파이더 및 커플러, 볼트 등</t>
    <phoneticPr fontId="1" type="noConversion"/>
  </si>
  <si>
    <t>소모품 및 기타자재</t>
    <phoneticPr fontId="1" type="noConversion"/>
  </si>
  <si>
    <t>5. 내장공사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</si>
</sst>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double">
        <color auto="1"/>
      </bottom>
      <diagonal/>
    </border>
    <border>
      <left/>
      <right style="medium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76" fontId="6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6" fontId="0" fillId="0" borderId="16" xfId="1" applyFon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176" fontId="0" fillId="3" borderId="12" xfId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/>
    </xf>
    <xf numFmtId="176" fontId="0" fillId="0" borderId="18" xfId="1" applyFont="1" applyBorder="1" applyAlignment="1">
      <alignment horizontal="center" vertical="center"/>
    </xf>
    <xf numFmtId="176" fontId="0" fillId="0" borderId="12" xfId="1" applyFont="1" applyBorder="1" applyAlignment="1">
      <alignment horizontal="center" vertical="center"/>
    </xf>
    <xf numFmtId="176" fontId="0" fillId="0" borderId="15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0" fontId="0" fillId="3" borderId="12" xfId="0" applyFill="1" applyBorder="1" applyAlignment="1">
      <alignment horizontal="center" vertical="center" shrinkToFit="1"/>
    </xf>
    <xf numFmtId="0" fontId="0" fillId="3" borderId="12" xfId="0" applyFill="1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15" xfId="0" applyBorder="1" applyAlignment="1">
      <alignment horizontal="center" vertical="center" shrinkToFit="1"/>
    </xf>
    <xf numFmtId="9" fontId="0" fillId="0" borderId="15" xfId="0" applyNumberFormat="1" applyBorder="1" applyAlignment="1">
      <alignment horizontal="center" vertical="center"/>
    </xf>
    <xf numFmtId="176" fontId="0" fillId="0" borderId="18" xfId="1" applyFont="1" applyBorder="1" applyAlignment="1">
      <alignment horizontal="center" vertical="center" shrinkToFit="1"/>
    </xf>
    <xf numFmtId="176" fontId="0" fillId="0" borderId="16" xfId="1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left" vertical="center" shrinkToFit="1"/>
    </xf>
    <xf numFmtId="0" fontId="2" fillId="0" borderId="14" xfId="0" applyFont="1" applyBorder="1" applyAlignment="1">
      <alignment horizontal="left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2" fillId="0" borderId="21" xfId="0" applyFont="1" applyBorder="1" applyAlignment="1">
      <alignment horizontal="left" vertical="center" shrinkToFit="1"/>
    </xf>
    <xf numFmtId="0" fontId="2" fillId="0" borderId="22" xfId="0" applyFont="1" applyBorder="1" applyAlignment="1">
      <alignment horizontal="left" vertical="center" shrinkToFit="1"/>
    </xf>
    <xf numFmtId="0" fontId="0" fillId="0" borderId="21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19" xfId="0" applyFont="1" applyBorder="1" applyAlignment="1">
      <alignment horizontal="left" vertical="center" shrinkToFit="1"/>
    </xf>
    <xf numFmtId="0" fontId="2" fillId="0" borderId="20" xfId="0" applyFont="1" applyBorder="1" applyAlignment="1">
      <alignment horizontal="left" vertical="center" shrinkToFit="1"/>
    </xf>
    <xf numFmtId="0" fontId="0" fillId="0" borderId="19" xfId="0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  <xf numFmtId="0" fontId="0" fillId="4" borderId="13" xfId="0" applyFill="1" applyBorder="1" applyAlignment="1">
      <alignment horizontal="center" vertical="center" shrinkToFit="1"/>
    </xf>
    <xf numFmtId="0" fontId="0" fillId="4" borderId="14" xfId="0" applyFill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176" fontId="0" fillId="0" borderId="18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2" xfId="0" applyFont="1" applyBorder="1" applyAlignment="1">
      <alignment horizontal="left" vertical="center" shrinkToFit="1"/>
    </xf>
    <xf numFmtId="176" fontId="0" fillId="0" borderId="12" xfId="1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shrinkToFit="1"/>
    </xf>
    <xf numFmtId="176" fontId="0" fillId="0" borderId="15" xfId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0" fontId="0" fillId="2" borderId="11" xfId="0" applyFill="1" applyBorder="1" applyAlignment="1">
      <alignment horizontal="center" vertical="center"/>
    </xf>
    <xf numFmtId="0" fontId="2" fillId="0" borderId="13" xfId="0" applyFont="1" applyBorder="1" applyAlignment="1">
      <alignment horizontal="right" vertical="center" shrinkToFit="1"/>
    </xf>
    <xf numFmtId="0" fontId="2" fillId="0" borderId="14" xfId="0" applyFont="1" applyBorder="1" applyAlignment="1">
      <alignment horizontal="right" vertical="center" shrinkToFit="1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0</xdr:row>
      <xdr:rowOff>190500</xdr:rowOff>
    </xdr:from>
    <xdr:to>
      <xdr:col>11</xdr:col>
      <xdr:colOff>381000</xdr:colOff>
      <xdr:row>5</xdr:row>
      <xdr:rowOff>142875</xdr:rowOff>
    </xdr:to>
    <xdr:sp macro="" textlink="">
      <xdr:nvSpPr>
        <xdr:cNvPr id="2" name="위쪽 리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426845" y="190500"/>
          <a:ext cx="6947535" cy="1057275"/>
        </a:xfrm>
        <a:prstGeom prst="ribbon2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552450</xdr:colOff>
      <xdr:row>1</xdr:row>
      <xdr:rowOff>66675</xdr:rowOff>
    </xdr:from>
    <xdr:to>
      <xdr:col>9</xdr:col>
      <xdr:colOff>121920</xdr:colOff>
      <xdr:row>4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234690" y="287655"/>
          <a:ext cx="3318510" cy="6343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2800"/>
            <a:t>내    역    서</a:t>
          </a:r>
        </a:p>
      </xdr:txBody>
    </xdr:sp>
    <xdr:clientData/>
  </xdr:twoCellAnchor>
  <xdr:twoCellAnchor editAs="oneCell">
    <xdr:from>
      <xdr:col>5</xdr:col>
      <xdr:colOff>478154</xdr:colOff>
      <xdr:row>9</xdr:row>
      <xdr:rowOff>135255</xdr:rowOff>
    </xdr:from>
    <xdr:to>
      <xdr:col>8</xdr:col>
      <xdr:colOff>150494</xdr:colOff>
      <xdr:row>18</xdr:row>
      <xdr:rowOff>137160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0954" y="2124075"/>
          <a:ext cx="2135505" cy="1990725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32</xdr:row>
      <xdr:rowOff>19049</xdr:rowOff>
    </xdr:from>
    <xdr:to>
      <xdr:col>9</xdr:col>
      <xdr:colOff>398145</xdr:colOff>
      <xdr:row>35</xdr:row>
      <xdr:rowOff>152399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6734174"/>
          <a:ext cx="771525" cy="771525"/>
        </a:xfrm>
        <a:prstGeom prst="rect">
          <a:avLst/>
        </a:prstGeom>
      </xdr:spPr>
    </xdr:pic>
    <xdr:clientData/>
  </xdr:twoCellAnchor>
  <xdr:oneCellAnchor>
    <xdr:from>
      <xdr:col>12</xdr:col>
      <xdr:colOff>914400</xdr:colOff>
      <xdr:row>57</xdr:row>
      <xdr:rowOff>95250</xdr:rowOff>
    </xdr:from>
    <xdr:ext cx="314325" cy="325755"/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00" y="19251930"/>
          <a:ext cx="314325" cy="325755"/>
        </a:xfrm>
        <a:prstGeom prst="rect">
          <a:avLst/>
        </a:prstGeom>
      </xdr:spPr>
    </xdr:pic>
    <xdr:clientData/>
  </xdr:oneCellAnchor>
  <xdr:oneCellAnchor>
    <xdr:from>
      <xdr:col>12</xdr:col>
      <xdr:colOff>914400</xdr:colOff>
      <xdr:row>86</xdr:row>
      <xdr:rowOff>95250</xdr:rowOff>
    </xdr:from>
    <xdr:ext cx="314325" cy="325755"/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00" y="12759690"/>
          <a:ext cx="314325" cy="325755"/>
        </a:xfrm>
        <a:prstGeom prst="rect">
          <a:avLst/>
        </a:prstGeom>
      </xdr:spPr>
    </xdr:pic>
    <xdr:clientData/>
  </xdr:oneCellAnchor>
  <xdr:oneCellAnchor>
    <xdr:from>
      <xdr:col>12</xdr:col>
      <xdr:colOff>914400</xdr:colOff>
      <xdr:row>115</xdr:row>
      <xdr:rowOff>95250</xdr:rowOff>
    </xdr:from>
    <xdr:ext cx="314325" cy="325755"/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00" y="12759690"/>
          <a:ext cx="314325" cy="325755"/>
        </a:xfrm>
        <a:prstGeom prst="rect">
          <a:avLst/>
        </a:prstGeom>
      </xdr:spPr>
    </xdr:pic>
    <xdr:clientData/>
  </xdr:oneCellAnchor>
  <xdr:oneCellAnchor>
    <xdr:from>
      <xdr:col>12</xdr:col>
      <xdr:colOff>914400</xdr:colOff>
      <xdr:row>144</xdr:row>
      <xdr:rowOff>95250</xdr:rowOff>
    </xdr:from>
    <xdr:ext cx="314325" cy="325755"/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00" y="12759690"/>
          <a:ext cx="314325" cy="325755"/>
        </a:xfrm>
        <a:prstGeom prst="rect">
          <a:avLst/>
        </a:prstGeom>
      </xdr:spPr>
    </xdr:pic>
    <xdr:clientData/>
  </xdr:oneCellAnchor>
  <xdr:oneCellAnchor>
    <xdr:from>
      <xdr:col>12</xdr:col>
      <xdr:colOff>914400</xdr:colOff>
      <xdr:row>173</xdr:row>
      <xdr:rowOff>95250</xdr:rowOff>
    </xdr:from>
    <xdr:ext cx="314325" cy="325755"/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00" y="12759690"/>
          <a:ext cx="314325" cy="325755"/>
        </a:xfrm>
        <a:prstGeom prst="rect">
          <a:avLst/>
        </a:prstGeom>
      </xdr:spPr>
    </xdr:pic>
    <xdr:clientData/>
  </xdr:oneCellAnchor>
  <xdr:oneCellAnchor>
    <xdr:from>
      <xdr:col>12</xdr:col>
      <xdr:colOff>914400</xdr:colOff>
      <xdr:row>202</xdr:row>
      <xdr:rowOff>95250</xdr:rowOff>
    </xdr:from>
    <xdr:ext cx="314325" cy="325755"/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00" y="12759690"/>
          <a:ext cx="314325" cy="325755"/>
        </a:xfrm>
        <a:prstGeom prst="rect">
          <a:avLst/>
        </a:prstGeom>
      </xdr:spPr>
    </xdr:pic>
    <xdr:clientData/>
  </xdr:oneCellAnchor>
  <xdr:oneCellAnchor>
    <xdr:from>
      <xdr:col>12</xdr:col>
      <xdr:colOff>914400</xdr:colOff>
      <xdr:row>231</xdr:row>
      <xdr:rowOff>95250</xdr:rowOff>
    </xdr:from>
    <xdr:ext cx="314325" cy="325755"/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00" y="12759690"/>
          <a:ext cx="314325" cy="325755"/>
        </a:xfrm>
        <a:prstGeom prst="rect">
          <a:avLst/>
        </a:prstGeom>
      </xdr:spPr>
    </xdr:pic>
    <xdr:clientData/>
  </xdr:oneCellAnchor>
  <xdr:oneCellAnchor>
    <xdr:from>
      <xdr:col>12</xdr:col>
      <xdr:colOff>914400</xdr:colOff>
      <xdr:row>260</xdr:row>
      <xdr:rowOff>95250</xdr:rowOff>
    </xdr:from>
    <xdr:ext cx="314325" cy="325755"/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00" y="12759690"/>
          <a:ext cx="314325" cy="325755"/>
        </a:xfrm>
        <a:prstGeom prst="rect">
          <a:avLst/>
        </a:prstGeom>
      </xdr:spPr>
    </xdr:pic>
    <xdr:clientData/>
  </xdr:oneCellAnchor>
  <xdr:oneCellAnchor>
    <xdr:from>
      <xdr:col>12</xdr:col>
      <xdr:colOff>914400</xdr:colOff>
      <xdr:row>289</xdr:row>
      <xdr:rowOff>95250</xdr:rowOff>
    </xdr:from>
    <xdr:ext cx="314325" cy="325755"/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00" y="12759690"/>
          <a:ext cx="314325" cy="325755"/>
        </a:xfrm>
        <a:prstGeom prst="rect">
          <a:avLst/>
        </a:prstGeom>
      </xdr:spPr>
    </xdr:pic>
    <xdr:clientData/>
  </xdr:oneCellAnchor>
  <xdr:oneCellAnchor>
    <xdr:from>
      <xdr:col>12</xdr:col>
      <xdr:colOff>914400</xdr:colOff>
      <xdr:row>318</xdr:row>
      <xdr:rowOff>95250</xdr:rowOff>
    </xdr:from>
    <xdr:ext cx="314325" cy="325755"/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00" y="12759690"/>
          <a:ext cx="314325" cy="3257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6"/>
  <sheetViews>
    <sheetView tabSelected="1" zoomScaleNormal="100" workbookViewId="0">
      <selection activeCell="J155" sqref="J155"/>
    </sheetView>
  </sheetViews>
  <sheetFormatPr baseColWidth="10" defaultColWidth="8.83203125" defaultRowHeight="17"/>
  <cols>
    <col min="7" max="7" width="11.83203125" bestFit="1" customWidth="1"/>
    <col min="8" max="8" width="11.6640625" bestFit="1" customWidth="1"/>
    <col min="9" max="9" width="11.83203125" bestFit="1" customWidth="1"/>
    <col min="10" max="10" width="11.6640625" bestFit="1" customWidth="1"/>
    <col min="11" max="12" width="10.6640625" bestFit="1" customWidth="1"/>
    <col min="13" max="13" width="16.5" customWidth="1"/>
    <col min="15" max="15" width="9.33203125" bestFit="1" customWidth="1"/>
    <col min="16" max="16" width="9.5" bestFit="1" customWidth="1"/>
  </cols>
  <sheetData>
    <row r="1" spans="1: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>
      <c r="A2" s="4"/>
      <c r="M2" s="5"/>
    </row>
    <row r="3" spans="1:13">
      <c r="A3" s="4"/>
      <c r="M3" s="5"/>
    </row>
    <row r="4" spans="1:13">
      <c r="A4" s="4"/>
      <c r="M4" s="5"/>
    </row>
    <row r="5" spans="1:13">
      <c r="A5" s="4"/>
      <c r="M5" s="5"/>
    </row>
    <row r="6" spans="1:13">
      <c r="A6" s="4"/>
      <c r="M6" s="5"/>
    </row>
    <row r="7" spans="1:13">
      <c r="A7" s="4"/>
      <c r="M7" s="5"/>
    </row>
    <row r="8" spans="1:13">
      <c r="A8" s="4"/>
      <c r="C8" s="70" t="s">
        <v>54</v>
      </c>
      <c r="D8" s="71"/>
      <c r="E8" s="71"/>
      <c r="F8" s="71"/>
      <c r="G8" s="71"/>
      <c r="H8" s="71"/>
      <c r="I8" s="71"/>
      <c r="J8" s="71"/>
      <c r="K8" s="71"/>
      <c r="M8" s="5"/>
    </row>
    <row r="9" spans="1:13">
      <c r="A9" s="4"/>
      <c r="C9" s="71"/>
      <c r="D9" s="71"/>
      <c r="E9" s="71"/>
      <c r="F9" s="71"/>
      <c r="G9" s="71"/>
      <c r="H9" s="71"/>
      <c r="I9" s="71"/>
      <c r="J9" s="71"/>
      <c r="K9" s="71"/>
      <c r="M9" s="5"/>
    </row>
    <row r="10" spans="1:13">
      <c r="A10" s="4"/>
      <c r="M10" s="5"/>
    </row>
    <row r="11" spans="1:13">
      <c r="A11" s="4"/>
      <c r="M11" s="5"/>
    </row>
    <row r="12" spans="1:13">
      <c r="A12" s="4"/>
      <c r="M12" s="5"/>
    </row>
    <row r="13" spans="1:13">
      <c r="A13" s="4"/>
      <c r="M13" s="5"/>
    </row>
    <row r="14" spans="1:13">
      <c r="A14" s="4"/>
      <c r="M14" s="5"/>
    </row>
    <row r="15" spans="1:13">
      <c r="A15" s="4"/>
      <c r="M15" s="5"/>
    </row>
    <row r="16" spans="1:13">
      <c r="A16" s="4"/>
      <c r="M16" s="5"/>
    </row>
    <row r="17" spans="1:13">
      <c r="A17" s="4"/>
      <c r="M17" s="5"/>
    </row>
    <row r="18" spans="1:13">
      <c r="A18" s="4"/>
      <c r="M18" s="5"/>
    </row>
    <row r="19" spans="1:13">
      <c r="A19" s="4"/>
      <c r="M19" s="5"/>
    </row>
    <row r="20" spans="1:13">
      <c r="A20" s="4"/>
      <c r="M20" s="5"/>
    </row>
    <row r="21" spans="1:13">
      <c r="A21" s="4"/>
      <c r="M21" s="5"/>
    </row>
    <row r="22" spans="1:13">
      <c r="A22" s="4"/>
      <c r="I22" s="67" t="s">
        <v>1</v>
      </c>
      <c r="J22" s="67"/>
      <c r="K22" s="72" t="s">
        <v>33</v>
      </c>
      <c r="L22" s="72"/>
      <c r="M22" s="73"/>
    </row>
    <row r="23" spans="1:13">
      <c r="A23" s="4"/>
      <c r="I23" s="67" t="s">
        <v>0</v>
      </c>
      <c r="J23" s="67"/>
      <c r="K23" s="72" t="s">
        <v>4</v>
      </c>
      <c r="L23" s="72"/>
      <c r="M23" s="73"/>
    </row>
    <row r="24" spans="1:13">
      <c r="A24" s="4"/>
      <c r="I24" s="67" t="s">
        <v>3</v>
      </c>
      <c r="J24" s="67"/>
      <c r="K24" s="74" t="s">
        <v>6</v>
      </c>
      <c r="L24" s="75"/>
      <c r="M24" s="76"/>
    </row>
    <row r="25" spans="1:13">
      <c r="A25" s="4"/>
      <c r="I25" s="67"/>
      <c r="J25" s="67"/>
      <c r="K25" s="74" t="s">
        <v>5</v>
      </c>
      <c r="L25" s="75"/>
      <c r="M25" s="76"/>
    </row>
    <row r="26" spans="1:13">
      <c r="A26" s="4"/>
      <c r="I26" s="67" t="s">
        <v>2</v>
      </c>
      <c r="J26" s="67"/>
      <c r="K26" s="72" t="s">
        <v>7</v>
      </c>
      <c r="L26" s="72"/>
      <c r="M26" s="73"/>
    </row>
    <row r="27" spans="1:13">
      <c r="A27" s="4"/>
      <c r="K27" t="s">
        <v>8</v>
      </c>
      <c r="M27" s="5"/>
    </row>
    <row r="28" spans="1:13" ht="18" thickBot="1">
      <c r="A28" s="6"/>
      <c r="B28" s="7"/>
      <c r="C28" s="7"/>
      <c r="D28" s="7"/>
      <c r="E28" s="7"/>
      <c r="F28" s="7"/>
      <c r="G28" s="7"/>
      <c r="H28" s="7"/>
      <c r="I28" s="7"/>
      <c r="J28" s="7"/>
      <c r="K28" s="77" t="s">
        <v>34</v>
      </c>
      <c r="L28" s="77"/>
      <c r="M28" s="82"/>
    </row>
    <row r="29" spans="1:13">
      <c r="A29" t="s">
        <v>38</v>
      </c>
      <c r="B29" t="s">
        <v>37</v>
      </c>
      <c r="C29" s="28" t="s">
        <v>40</v>
      </c>
    </row>
    <row r="30" spans="1:13">
      <c r="A30" t="s">
        <v>39</v>
      </c>
      <c r="B30" t="s">
        <v>36</v>
      </c>
      <c r="C30" s="28" t="s">
        <v>41</v>
      </c>
    </row>
    <row r="31" spans="1:13">
      <c r="D31" s="68" t="s">
        <v>9</v>
      </c>
      <c r="E31" s="68"/>
      <c r="F31" s="68"/>
      <c r="G31" s="68"/>
      <c r="H31" s="68"/>
      <c r="I31" s="68"/>
      <c r="J31" s="68"/>
    </row>
    <row r="32" spans="1:13">
      <c r="D32" s="68"/>
      <c r="E32" s="68"/>
      <c r="F32" s="68"/>
      <c r="G32" s="68"/>
      <c r="H32" s="68"/>
      <c r="I32" s="68"/>
      <c r="J32" s="68"/>
    </row>
    <row r="33" spans="1:16">
      <c r="I33" s="67"/>
      <c r="J33" s="67"/>
      <c r="K33" s="72" t="s">
        <v>35</v>
      </c>
      <c r="L33" s="72"/>
      <c r="M33" s="72"/>
    </row>
    <row r="34" spans="1:16">
      <c r="I34" s="67"/>
      <c r="J34" s="67"/>
      <c r="K34" s="9" t="s">
        <v>6</v>
      </c>
      <c r="L34" s="10"/>
      <c r="M34" s="10"/>
    </row>
    <row r="35" spans="1:16" ht="18" thickBot="1">
      <c r="A35" s="77" t="s">
        <v>31</v>
      </c>
      <c r="B35" s="77"/>
      <c r="C35" s="77"/>
      <c r="I35" s="67"/>
      <c r="J35" s="67"/>
      <c r="K35" s="9" t="s">
        <v>5</v>
      </c>
      <c r="L35" s="10"/>
      <c r="M35" s="10"/>
    </row>
    <row r="36" spans="1:16">
      <c r="I36" s="67"/>
      <c r="J36" s="67"/>
      <c r="K36" s="8" t="s">
        <v>7</v>
      </c>
      <c r="L36" s="8"/>
      <c r="M36" s="8"/>
    </row>
    <row r="37" spans="1:16" ht="18" thickBot="1">
      <c r="A37" s="77" t="s">
        <v>32</v>
      </c>
      <c r="B37" s="77"/>
      <c r="C37" s="77"/>
      <c r="I37" s="67"/>
      <c r="J37" s="67"/>
      <c r="K37" t="s">
        <v>8</v>
      </c>
    </row>
    <row r="38" spans="1:16">
      <c r="K38" s="72" t="s">
        <v>34</v>
      </c>
      <c r="L38" s="72"/>
      <c r="M38" s="72"/>
    </row>
    <row r="39" spans="1:16" ht="18" thickBot="1"/>
    <row r="40" spans="1:16">
      <c r="A40" s="47" t="s">
        <v>11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</row>
    <row r="41" spans="1:16" ht="18" thickBot="1">
      <c r="A41" s="69" t="s">
        <v>10</v>
      </c>
      <c r="B41" s="69"/>
      <c r="C41" s="69"/>
      <c r="D41" s="69"/>
      <c r="E41" s="78" t="s">
        <v>30</v>
      </c>
      <c r="F41" s="78"/>
      <c r="G41" s="78"/>
      <c r="H41" s="78"/>
      <c r="I41" s="78"/>
      <c r="J41" s="78"/>
      <c r="K41" s="78"/>
      <c r="L41" s="78"/>
      <c r="M41" s="78"/>
    </row>
    <row r="42" spans="1:16">
      <c r="A42" s="43" t="s">
        <v>12</v>
      </c>
      <c r="B42" s="61"/>
      <c r="C42" s="61"/>
      <c r="D42" s="44"/>
      <c r="E42" s="43"/>
      <c r="F42" s="61"/>
      <c r="G42" s="61"/>
      <c r="H42" s="61"/>
      <c r="I42" s="61"/>
      <c r="J42" s="44"/>
      <c r="K42" s="43"/>
      <c r="L42" s="61"/>
      <c r="M42" s="44"/>
    </row>
    <row r="43" spans="1:16" ht="18" thickBot="1">
      <c r="A43" s="45"/>
      <c r="B43" s="62"/>
      <c r="C43" s="62"/>
      <c r="D43" s="46"/>
      <c r="E43" s="45"/>
      <c r="F43" s="62"/>
      <c r="G43" s="62"/>
      <c r="H43" s="62"/>
      <c r="I43" s="62"/>
      <c r="J43" s="46"/>
      <c r="K43" s="45"/>
      <c r="L43" s="62"/>
      <c r="M43" s="46"/>
    </row>
    <row r="44" spans="1:16">
      <c r="A44" s="79" t="s">
        <v>19</v>
      </c>
      <c r="B44" s="79"/>
      <c r="C44" s="79"/>
      <c r="D44" s="11" t="s">
        <v>13</v>
      </c>
      <c r="E44" s="11" t="s">
        <v>14</v>
      </c>
      <c r="F44" s="11" t="s">
        <v>15</v>
      </c>
      <c r="G44" s="79" t="s">
        <v>16</v>
      </c>
      <c r="H44" s="79"/>
      <c r="I44" s="79" t="s">
        <v>17</v>
      </c>
      <c r="J44" s="79"/>
      <c r="K44" s="79" t="s">
        <v>18</v>
      </c>
      <c r="L44" s="79"/>
      <c r="M44" s="79"/>
      <c r="O44" s="83" t="s">
        <v>42</v>
      </c>
      <c r="P44" s="83"/>
    </row>
    <row r="45" spans="1:16">
      <c r="A45" s="63" t="s">
        <v>55</v>
      </c>
      <c r="B45" s="63"/>
      <c r="C45" s="63"/>
      <c r="D45" s="12" t="s">
        <v>62</v>
      </c>
      <c r="E45" s="12">
        <v>1</v>
      </c>
      <c r="F45" s="12">
        <v>1</v>
      </c>
      <c r="G45" s="64">
        <v>14580000</v>
      </c>
      <c r="H45" s="64"/>
      <c r="I45" s="64">
        <f>G45</f>
        <v>14580000</v>
      </c>
      <c r="J45" s="64"/>
      <c r="K45" s="64"/>
      <c r="L45" s="64"/>
      <c r="M45" s="64"/>
      <c r="O45" s="83" t="s">
        <v>43</v>
      </c>
      <c r="P45" s="83"/>
    </row>
    <row r="46" spans="1:16">
      <c r="A46" s="63" t="s">
        <v>56</v>
      </c>
      <c r="B46" s="63"/>
      <c r="C46" s="63"/>
      <c r="D46" s="12" t="s">
        <v>62</v>
      </c>
      <c r="E46" s="12">
        <v>1</v>
      </c>
      <c r="F46" s="12">
        <v>1</v>
      </c>
      <c r="G46" s="64">
        <v>45350000</v>
      </c>
      <c r="H46" s="64"/>
      <c r="I46" s="64">
        <f t="shared" ref="I46:I55" si="0">G46</f>
        <v>45350000</v>
      </c>
      <c r="J46" s="64"/>
      <c r="K46" s="64"/>
      <c r="L46" s="64"/>
      <c r="M46" s="64"/>
      <c r="O46" s="83" t="s">
        <v>44</v>
      </c>
      <c r="P46" s="83"/>
    </row>
    <row r="47" spans="1:16">
      <c r="A47" s="63" t="s">
        <v>57</v>
      </c>
      <c r="B47" s="63"/>
      <c r="C47" s="63"/>
      <c r="D47" s="12" t="s">
        <v>62</v>
      </c>
      <c r="E47" s="12">
        <v>1</v>
      </c>
      <c r="F47" s="12">
        <v>1</v>
      </c>
      <c r="G47" s="64">
        <v>575800000</v>
      </c>
      <c r="H47" s="64"/>
      <c r="I47" s="64">
        <f t="shared" si="0"/>
        <v>575800000</v>
      </c>
      <c r="J47" s="64"/>
      <c r="K47" s="64"/>
      <c r="L47" s="64"/>
      <c r="M47" s="64"/>
      <c r="O47" s="83" t="s">
        <v>45</v>
      </c>
      <c r="P47" s="83"/>
    </row>
    <row r="48" spans="1:16">
      <c r="A48" s="63" t="s">
        <v>58</v>
      </c>
      <c r="B48" s="63"/>
      <c r="C48" s="63"/>
      <c r="D48" s="12" t="s">
        <v>62</v>
      </c>
      <c r="E48" s="12">
        <v>1</v>
      </c>
      <c r="F48" s="12">
        <v>1</v>
      </c>
      <c r="G48" s="64">
        <v>188000000</v>
      </c>
      <c r="H48" s="64"/>
      <c r="I48" s="64">
        <f t="shared" si="0"/>
        <v>188000000</v>
      </c>
      <c r="J48" s="64"/>
      <c r="K48" s="64"/>
      <c r="L48" s="64"/>
      <c r="M48" s="64"/>
      <c r="O48" s="83" t="s">
        <v>46</v>
      </c>
      <c r="P48" s="83"/>
    </row>
    <row r="49" spans="1:16">
      <c r="A49" s="63" t="s">
        <v>59</v>
      </c>
      <c r="B49" s="63"/>
      <c r="C49" s="63"/>
      <c r="D49" s="12" t="s">
        <v>62</v>
      </c>
      <c r="E49" s="12">
        <v>1</v>
      </c>
      <c r="F49" s="12">
        <v>1</v>
      </c>
      <c r="G49" s="64">
        <v>372800000</v>
      </c>
      <c r="H49" s="64"/>
      <c r="I49" s="64">
        <f t="shared" si="0"/>
        <v>372800000</v>
      </c>
      <c r="J49" s="64"/>
      <c r="K49" s="64"/>
      <c r="L49" s="64"/>
      <c r="M49" s="64"/>
      <c r="O49" s="83" t="s">
        <v>47</v>
      </c>
      <c r="P49" s="83"/>
    </row>
    <row r="50" spans="1:16">
      <c r="A50" s="63"/>
      <c r="B50" s="63"/>
      <c r="C50" s="63"/>
      <c r="D50" s="12" t="s">
        <v>62</v>
      </c>
      <c r="E50" s="12"/>
      <c r="F50" s="12"/>
      <c r="G50" s="64"/>
      <c r="H50" s="64"/>
      <c r="I50" s="64">
        <f t="shared" si="0"/>
        <v>0</v>
      </c>
      <c r="J50" s="64"/>
      <c r="K50" s="64"/>
      <c r="L50" s="64"/>
      <c r="M50" s="64"/>
      <c r="O50" s="83" t="s">
        <v>48</v>
      </c>
      <c r="P50" s="83"/>
    </row>
    <row r="51" spans="1:16">
      <c r="A51" s="63"/>
      <c r="B51" s="63"/>
      <c r="C51" s="63"/>
      <c r="D51" s="12" t="s">
        <v>62</v>
      </c>
      <c r="E51" s="12"/>
      <c r="F51" s="12"/>
      <c r="G51" s="64"/>
      <c r="H51" s="64"/>
      <c r="I51" s="64">
        <f t="shared" si="0"/>
        <v>0</v>
      </c>
      <c r="J51" s="64"/>
      <c r="K51" s="64"/>
      <c r="L51" s="64"/>
      <c r="M51" s="64"/>
      <c r="O51" s="83" t="s">
        <v>49</v>
      </c>
      <c r="P51" s="83"/>
    </row>
    <row r="52" spans="1:16">
      <c r="A52" s="63"/>
      <c r="B52" s="63"/>
      <c r="C52" s="63"/>
      <c r="D52" s="12" t="s">
        <v>62</v>
      </c>
      <c r="E52" s="12"/>
      <c r="F52" s="12"/>
      <c r="G52" s="64"/>
      <c r="H52" s="64"/>
      <c r="I52" s="64">
        <f t="shared" si="0"/>
        <v>0</v>
      </c>
      <c r="J52" s="64"/>
      <c r="K52" s="64"/>
      <c r="L52" s="64"/>
      <c r="M52" s="64"/>
      <c r="O52" s="83" t="s">
        <v>50</v>
      </c>
      <c r="P52" s="83"/>
    </row>
    <row r="53" spans="1:16">
      <c r="A53" s="63"/>
      <c r="B53" s="63"/>
      <c r="C53" s="63"/>
      <c r="D53" s="12" t="s">
        <v>62</v>
      </c>
      <c r="E53" s="18"/>
      <c r="F53" s="12"/>
      <c r="G53" s="64"/>
      <c r="H53" s="64"/>
      <c r="I53" s="64">
        <f t="shared" si="0"/>
        <v>0</v>
      </c>
      <c r="J53" s="64"/>
      <c r="K53" s="64"/>
      <c r="L53" s="64"/>
      <c r="M53" s="64"/>
      <c r="O53" s="83" t="s">
        <v>51</v>
      </c>
      <c r="P53" s="83"/>
    </row>
    <row r="54" spans="1:16">
      <c r="A54" s="63" t="s">
        <v>60</v>
      </c>
      <c r="B54" s="63"/>
      <c r="C54" s="63"/>
      <c r="D54" s="12" t="s">
        <v>62</v>
      </c>
      <c r="E54" s="18">
        <v>0.05</v>
      </c>
      <c r="F54" s="12">
        <v>1</v>
      </c>
      <c r="G54" s="64">
        <v>59800000</v>
      </c>
      <c r="H54" s="64"/>
      <c r="I54" s="64">
        <f t="shared" si="0"/>
        <v>59800000</v>
      </c>
      <c r="J54" s="64"/>
      <c r="K54" s="64"/>
      <c r="L54" s="64"/>
      <c r="M54" s="64"/>
      <c r="O54" s="83" t="s">
        <v>52</v>
      </c>
      <c r="P54" s="83"/>
    </row>
    <row r="55" spans="1:16" ht="18" thickBot="1">
      <c r="A55" s="65" t="s">
        <v>61</v>
      </c>
      <c r="B55" s="65"/>
      <c r="C55" s="65"/>
      <c r="D55" s="12" t="s">
        <v>62</v>
      </c>
      <c r="E55" s="30">
        <v>0.04</v>
      </c>
      <c r="F55" s="13">
        <v>1</v>
      </c>
      <c r="G55" s="66">
        <v>47800000</v>
      </c>
      <c r="H55" s="66"/>
      <c r="I55" s="64">
        <f t="shared" si="0"/>
        <v>47800000</v>
      </c>
      <c r="J55" s="64"/>
      <c r="K55" s="66"/>
      <c r="L55" s="66"/>
      <c r="M55" s="66"/>
      <c r="O55" s="83" t="s">
        <v>53</v>
      </c>
      <c r="P55" s="83"/>
    </row>
    <row r="56" spans="1:16" ht="19" thickTop="1" thickBot="1">
      <c r="A56" s="59" t="s">
        <v>20</v>
      </c>
      <c r="B56" s="59"/>
      <c r="C56" s="59"/>
      <c r="D56" s="14"/>
      <c r="E56" s="15"/>
      <c r="F56" s="14"/>
      <c r="G56" s="60"/>
      <c r="H56" s="60"/>
      <c r="I56" s="60"/>
      <c r="J56" s="60"/>
      <c r="K56" s="60">
        <f>SUM(I45:J55)</f>
        <v>1304130000</v>
      </c>
      <c r="L56" s="60"/>
      <c r="M56" s="60"/>
    </row>
    <row r="59" spans="1:16" ht="18" thickBot="1">
      <c r="A59" t="s">
        <v>21</v>
      </c>
    </row>
    <row r="60" spans="1:16" ht="18" thickBot="1">
      <c r="A60" s="43" t="s">
        <v>24</v>
      </c>
      <c r="B60" s="44"/>
      <c r="C60" s="43" t="s">
        <v>13</v>
      </c>
      <c r="D60" s="44"/>
      <c r="E60" s="47" t="s">
        <v>14</v>
      </c>
      <c r="F60" s="47" t="s">
        <v>15</v>
      </c>
      <c r="G60" s="49" t="s">
        <v>26</v>
      </c>
      <c r="H60" s="50"/>
      <c r="I60" s="49" t="s">
        <v>27</v>
      </c>
      <c r="J60" s="50"/>
      <c r="K60" s="49" t="s">
        <v>25</v>
      </c>
      <c r="L60" s="50"/>
      <c r="M60" s="47" t="s">
        <v>20</v>
      </c>
    </row>
    <row r="61" spans="1:16" ht="18" thickBot="1">
      <c r="A61" s="45"/>
      <c r="B61" s="46"/>
      <c r="C61" s="45"/>
      <c r="D61" s="46"/>
      <c r="E61" s="48"/>
      <c r="F61" s="48"/>
      <c r="G61" s="21" t="s">
        <v>22</v>
      </c>
      <c r="H61" s="21" t="s">
        <v>23</v>
      </c>
      <c r="I61" s="21" t="s">
        <v>22</v>
      </c>
      <c r="J61" s="21" t="s">
        <v>23</v>
      </c>
      <c r="K61" s="21" t="s">
        <v>22</v>
      </c>
      <c r="L61" s="21" t="s">
        <v>23</v>
      </c>
      <c r="M61" s="48"/>
    </row>
    <row r="62" spans="1:16">
      <c r="A62" s="51" t="s">
        <v>63</v>
      </c>
      <c r="B62" s="52"/>
      <c r="C62" s="53" t="s">
        <v>66</v>
      </c>
      <c r="D62" s="54"/>
      <c r="E62" s="20" t="s">
        <v>64</v>
      </c>
      <c r="F62" s="16">
        <v>60</v>
      </c>
      <c r="G62" s="23"/>
      <c r="H62" s="17">
        <f>F62*G62</f>
        <v>0</v>
      </c>
      <c r="I62" s="23">
        <v>150000</v>
      </c>
      <c r="J62" s="23">
        <f t="shared" ref="J62:J84" si="1">F62*I62</f>
        <v>9000000</v>
      </c>
      <c r="K62" s="23"/>
      <c r="L62" s="17">
        <f>F62*K62</f>
        <v>0</v>
      </c>
      <c r="M62" s="17">
        <f>H62+J62+L62</f>
        <v>9000000</v>
      </c>
    </row>
    <row r="63" spans="1:16">
      <c r="A63" s="33"/>
      <c r="B63" s="34"/>
      <c r="C63" s="35" t="s">
        <v>65</v>
      </c>
      <c r="D63" s="36"/>
      <c r="E63" s="25" t="s">
        <v>62</v>
      </c>
      <c r="F63" s="12">
        <v>1</v>
      </c>
      <c r="G63" s="23">
        <v>1790000</v>
      </c>
      <c r="H63" s="17">
        <f t="shared" ref="H63:H84" si="2">F63*G63</f>
        <v>1790000</v>
      </c>
      <c r="I63" s="23"/>
      <c r="J63" s="23">
        <f t="shared" si="1"/>
        <v>0</v>
      </c>
      <c r="K63" s="23">
        <v>550000</v>
      </c>
      <c r="L63" s="17">
        <f t="shared" ref="L63:L84" si="3">F63*K63</f>
        <v>550000</v>
      </c>
      <c r="M63" s="17">
        <f t="shared" ref="M63:M84" si="4">H63+J63+L63</f>
        <v>2340000</v>
      </c>
    </row>
    <row r="64" spans="1:16">
      <c r="A64" s="33"/>
      <c r="B64" s="34"/>
      <c r="C64" s="35"/>
      <c r="D64" s="36"/>
      <c r="E64" s="25"/>
      <c r="F64" s="12"/>
      <c r="G64" s="23"/>
      <c r="H64" s="17">
        <f t="shared" si="2"/>
        <v>0</v>
      </c>
      <c r="I64" s="23"/>
      <c r="J64" s="23">
        <f t="shared" si="1"/>
        <v>0</v>
      </c>
      <c r="K64" s="23"/>
      <c r="L64" s="17">
        <f t="shared" si="3"/>
        <v>0</v>
      </c>
      <c r="M64" s="17">
        <f t="shared" si="4"/>
        <v>0</v>
      </c>
    </row>
    <row r="65" spans="1:16">
      <c r="A65" s="33" t="s">
        <v>68</v>
      </c>
      <c r="B65" s="34"/>
      <c r="C65" s="35" t="s">
        <v>67</v>
      </c>
      <c r="D65" s="36"/>
      <c r="E65" s="25" t="s">
        <v>62</v>
      </c>
      <c r="F65" s="12">
        <v>9</v>
      </c>
      <c r="G65" s="23">
        <v>35000</v>
      </c>
      <c r="H65" s="17">
        <f t="shared" si="2"/>
        <v>315000</v>
      </c>
      <c r="I65" s="23"/>
      <c r="J65" s="23">
        <f t="shared" si="1"/>
        <v>0</v>
      </c>
      <c r="K65" s="23">
        <v>325000</v>
      </c>
      <c r="L65" s="17">
        <f t="shared" si="3"/>
        <v>2925000</v>
      </c>
      <c r="M65" s="17">
        <f t="shared" si="4"/>
        <v>3240000</v>
      </c>
    </row>
    <row r="66" spans="1:16">
      <c r="A66" s="33"/>
      <c r="B66" s="34"/>
      <c r="C66" s="35"/>
      <c r="D66" s="36"/>
      <c r="E66" s="26"/>
      <c r="F66" s="27"/>
      <c r="G66" s="19"/>
      <c r="H66" s="17">
        <f t="shared" si="2"/>
        <v>0</v>
      </c>
      <c r="I66" s="19"/>
      <c r="J66" s="23">
        <f t="shared" si="1"/>
        <v>0</v>
      </c>
      <c r="K66" s="19"/>
      <c r="L66" s="17">
        <f t="shared" si="3"/>
        <v>0</v>
      </c>
      <c r="M66" s="17">
        <f t="shared" si="4"/>
        <v>0</v>
      </c>
    </row>
    <row r="67" spans="1:16">
      <c r="A67" s="33"/>
      <c r="B67" s="34"/>
      <c r="C67" s="35"/>
      <c r="D67" s="36"/>
      <c r="E67" s="25"/>
      <c r="F67" s="12"/>
      <c r="G67" s="23"/>
      <c r="H67" s="17">
        <f t="shared" si="2"/>
        <v>0</v>
      </c>
      <c r="I67" s="23"/>
      <c r="J67" s="23">
        <f t="shared" ref="J67" si="5">F67*I67</f>
        <v>0</v>
      </c>
      <c r="K67" s="23"/>
      <c r="L67" s="17">
        <f t="shared" si="3"/>
        <v>0</v>
      </c>
      <c r="M67" s="17">
        <f t="shared" si="4"/>
        <v>0</v>
      </c>
      <c r="P67" t="s">
        <v>29</v>
      </c>
    </row>
    <row r="68" spans="1:16">
      <c r="A68" s="33"/>
      <c r="B68" s="34"/>
      <c r="C68" s="35"/>
      <c r="D68" s="36"/>
      <c r="E68" s="25"/>
      <c r="F68" s="12"/>
      <c r="G68" s="23"/>
      <c r="H68" s="17">
        <f t="shared" si="2"/>
        <v>0</v>
      </c>
      <c r="I68" s="23"/>
      <c r="J68" s="23">
        <f t="shared" si="1"/>
        <v>0</v>
      </c>
      <c r="K68" s="23"/>
      <c r="L68" s="17">
        <f t="shared" si="3"/>
        <v>0</v>
      </c>
      <c r="M68" s="17">
        <f t="shared" si="4"/>
        <v>0</v>
      </c>
    </row>
    <row r="69" spans="1:16">
      <c r="A69" s="33"/>
      <c r="B69" s="34"/>
      <c r="C69" s="35"/>
      <c r="D69" s="36"/>
      <c r="E69" s="25"/>
      <c r="F69" s="12"/>
      <c r="G69" s="23"/>
      <c r="H69" s="17">
        <f t="shared" si="2"/>
        <v>0</v>
      </c>
      <c r="I69" s="23"/>
      <c r="J69" s="23">
        <f t="shared" si="1"/>
        <v>0</v>
      </c>
      <c r="K69" s="23"/>
      <c r="L69" s="17">
        <f t="shared" si="3"/>
        <v>0</v>
      </c>
      <c r="M69" s="17">
        <f t="shared" si="4"/>
        <v>0</v>
      </c>
    </row>
    <row r="70" spans="1:16">
      <c r="A70" s="33" t="s">
        <v>69</v>
      </c>
      <c r="B70" s="34"/>
      <c r="C70" s="35" t="s">
        <v>70</v>
      </c>
      <c r="D70" s="36"/>
      <c r="E70" s="26" t="s">
        <v>74</v>
      </c>
      <c r="F70" s="27">
        <v>140</v>
      </c>
      <c r="G70" s="19">
        <v>7850</v>
      </c>
      <c r="H70" s="17">
        <f t="shared" si="2"/>
        <v>1099000</v>
      </c>
      <c r="I70" s="19">
        <v>12150</v>
      </c>
      <c r="J70" s="23">
        <f t="shared" si="1"/>
        <v>1701000</v>
      </c>
      <c r="K70" s="19">
        <v>16950</v>
      </c>
      <c r="L70" s="17">
        <f t="shared" si="3"/>
        <v>2373000</v>
      </c>
      <c r="M70" s="17">
        <f t="shared" si="4"/>
        <v>5173000</v>
      </c>
    </row>
    <row r="71" spans="1:16">
      <c r="A71" s="33"/>
      <c r="B71" s="34"/>
      <c r="C71" s="35" t="s">
        <v>75</v>
      </c>
      <c r="D71" s="36"/>
      <c r="E71" s="25" t="s">
        <v>74</v>
      </c>
      <c r="F71" s="12">
        <v>23</v>
      </c>
      <c r="G71" s="23">
        <v>23500</v>
      </c>
      <c r="H71" s="17">
        <f t="shared" si="2"/>
        <v>540500</v>
      </c>
      <c r="I71" s="23">
        <v>112500</v>
      </c>
      <c r="J71" s="23">
        <f t="shared" si="1"/>
        <v>2587500</v>
      </c>
      <c r="K71" s="23"/>
      <c r="L71" s="17">
        <f t="shared" si="3"/>
        <v>0</v>
      </c>
      <c r="M71" s="17">
        <f t="shared" si="4"/>
        <v>3128000</v>
      </c>
    </row>
    <row r="72" spans="1:16">
      <c r="A72" s="33"/>
      <c r="B72" s="34"/>
      <c r="C72" s="35" t="s">
        <v>71</v>
      </c>
      <c r="D72" s="36"/>
      <c r="E72" s="25" t="s">
        <v>72</v>
      </c>
      <c r="F72" s="12">
        <v>60</v>
      </c>
      <c r="G72" s="23">
        <v>385600</v>
      </c>
      <c r="H72" s="17">
        <f t="shared" si="2"/>
        <v>23136000</v>
      </c>
      <c r="I72" s="23">
        <v>13070</v>
      </c>
      <c r="J72" s="23">
        <f t="shared" si="1"/>
        <v>784200</v>
      </c>
      <c r="K72" s="23">
        <v>18000</v>
      </c>
      <c r="L72" s="17">
        <f t="shared" si="3"/>
        <v>1080000</v>
      </c>
      <c r="M72" s="17">
        <f t="shared" si="4"/>
        <v>25000200</v>
      </c>
    </row>
    <row r="73" spans="1:16">
      <c r="A73" s="33"/>
      <c r="B73" s="34"/>
      <c r="C73" s="35"/>
      <c r="D73" s="36"/>
      <c r="E73" s="26"/>
      <c r="F73" s="27"/>
      <c r="G73" s="19"/>
      <c r="H73" s="17">
        <f t="shared" si="2"/>
        <v>0</v>
      </c>
      <c r="I73" s="19"/>
      <c r="J73" s="23">
        <f t="shared" si="1"/>
        <v>0</v>
      </c>
      <c r="K73" s="19"/>
      <c r="L73" s="17">
        <f t="shared" si="3"/>
        <v>0</v>
      </c>
      <c r="M73" s="17">
        <f t="shared" si="4"/>
        <v>0</v>
      </c>
    </row>
    <row r="74" spans="1:16">
      <c r="A74" s="33" t="s">
        <v>78</v>
      </c>
      <c r="B74" s="34"/>
      <c r="C74" s="35" t="s">
        <v>76</v>
      </c>
      <c r="D74" s="36"/>
      <c r="E74" s="25" t="s">
        <v>72</v>
      </c>
      <c r="F74" s="12">
        <v>1</v>
      </c>
      <c r="G74" s="23">
        <v>4500000</v>
      </c>
      <c r="H74" s="17">
        <f t="shared" si="2"/>
        <v>4500000</v>
      </c>
      <c r="I74" s="23">
        <v>2500000</v>
      </c>
      <c r="J74" s="23">
        <f t="shared" si="1"/>
        <v>2500000</v>
      </c>
      <c r="K74" s="23">
        <v>1500000</v>
      </c>
      <c r="L74" s="17">
        <f t="shared" si="3"/>
        <v>1500000</v>
      </c>
      <c r="M74" s="17">
        <f t="shared" si="4"/>
        <v>8500000</v>
      </c>
    </row>
    <row r="75" spans="1:16">
      <c r="A75" s="33"/>
      <c r="B75" s="34"/>
      <c r="C75" s="35" t="s">
        <v>77</v>
      </c>
      <c r="D75" s="36"/>
      <c r="E75" s="25" t="s">
        <v>62</v>
      </c>
      <c r="F75" s="12">
        <v>3</v>
      </c>
      <c r="G75" s="23">
        <v>35000</v>
      </c>
      <c r="H75" s="17">
        <f t="shared" si="2"/>
        <v>105000</v>
      </c>
      <c r="I75" s="23"/>
      <c r="J75" s="23">
        <f t="shared" si="1"/>
        <v>0</v>
      </c>
      <c r="K75" s="23">
        <v>1150000</v>
      </c>
      <c r="L75" s="17">
        <f t="shared" si="3"/>
        <v>3450000</v>
      </c>
      <c r="M75" s="17">
        <f t="shared" si="4"/>
        <v>3555000</v>
      </c>
    </row>
    <row r="76" spans="1:16">
      <c r="A76" s="33"/>
      <c r="B76" s="34"/>
      <c r="C76" s="35"/>
      <c r="D76" s="36"/>
      <c r="E76" s="25"/>
      <c r="F76" s="12"/>
      <c r="G76" s="23"/>
      <c r="H76" s="17">
        <f t="shared" si="2"/>
        <v>0</v>
      </c>
      <c r="I76" s="23"/>
      <c r="J76" s="23">
        <f t="shared" si="1"/>
        <v>0</v>
      </c>
      <c r="K76" s="23"/>
      <c r="L76" s="17">
        <f t="shared" si="3"/>
        <v>0</v>
      </c>
      <c r="M76" s="17">
        <f t="shared" si="4"/>
        <v>0</v>
      </c>
    </row>
    <row r="77" spans="1:16">
      <c r="A77" s="33"/>
      <c r="B77" s="34"/>
      <c r="C77" s="35"/>
      <c r="D77" s="36"/>
      <c r="E77" s="25"/>
      <c r="F77" s="12"/>
      <c r="G77" s="23"/>
      <c r="H77" s="17">
        <f t="shared" si="2"/>
        <v>0</v>
      </c>
      <c r="I77" s="23"/>
      <c r="J77" s="23">
        <f t="shared" si="1"/>
        <v>0</v>
      </c>
      <c r="K77" s="23"/>
      <c r="L77" s="17">
        <f t="shared" si="3"/>
        <v>0</v>
      </c>
      <c r="M77" s="17">
        <f t="shared" si="4"/>
        <v>0</v>
      </c>
    </row>
    <row r="78" spans="1:16">
      <c r="A78" s="33"/>
      <c r="B78" s="34"/>
      <c r="C78" s="35"/>
      <c r="D78" s="36"/>
      <c r="E78" s="25"/>
      <c r="F78" s="12"/>
      <c r="G78" s="23"/>
      <c r="H78" s="17">
        <f t="shared" si="2"/>
        <v>0</v>
      </c>
      <c r="I78" s="23"/>
      <c r="J78" s="23">
        <f t="shared" si="1"/>
        <v>0</v>
      </c>
      <c r="K78" s="23"/>
      <c r="L78" s="17">
        <f t="shared" si="3"/>
        <v>0</v>
      </c>
      <c r="M78" s="17">
        <f t="shared" si="4"/>
        <v>0</v>
      </c>
    </row>
    <row r="79" spans="1:16">
      <c r="A79" s="33"/>
      <c r="B79" s="34"/>
      <c r="C79" s="35"/>
      <c r="D79" s="36"/>
      <c r="E79" s="25"/>
      <c r="F79" s="12"/>
      <c r="G79" s="23"/>
      <c r="H79" s="17">
        <f t="shared" si="2"/>
        <v>0</v>
      </c>
      <c r="I79" s="23"/>
      <c r="J79" s="23">
        <f t="shared" si="1"/>
        <v>0</v>
      </c>
      <c r="K79" s="23"/>
      <c r="L79" s="17">
        <f t="shared" si="3"/>
        <v>0</v>
      </c>
      <c r="M79" s="17">
        <f t="shared" si="4"/>
        <v>0</v>
      </c>
    </row>
    <row r="80" spans="1:16">
      <c r="A80" s="33"/>
      <c r="B80" s="34"/>
      <c r="C80" s="35"/>
      <c r="D80" s="36"/>
      <c r="E80" s="25"/>
      <c r="F80" s="12"/>
      <c r="G80" s="23"/>
      <c r="H80" s="17">
        <f t="shared" si="2"/>
        <v>0</v>
      </c>
      <c r="I80" s="23"/>
      <c r="J80" s="23">
        <f t="shared" si="1"/>
        <v>0</v>
      </c>
      <c r="K80" s="23"/>
      <c r="L80" s="17">
        <f t="shared" si="3"/>
        <v>0</v>
      </c>
      <c r="M80" s="17">
        <f t="shared" si="4"/>
        <v>0</v>
      </c>
    </row>
    <row r="81" spans="1:16">
      <c r="A81" s="33"/>
      <c r="B81" s="34"/>
      <c r="C81" s="35"/>
      <c r="D81" s="36"/>
      <c r="E81" s="25"/>
      <c r="F81" s="12"/>
      <c r="G81" s="23"/>
      <c r="H81" s="17">
        <f t="shared" si="2"/>
        <v>0</v>
      </c>
      <c r="I81" s="23"/>
      <c r="J81" s="23">
        <f t="shared" si="1"/>
        <v>0</v>
      </c>
      <c r="K81" s="23"/>
      <c r="L81" s="17">
        <f t="shared" si="3"/>
        <v>0</v>
      </c>
      <c r="M81" s="17">
        <f t="shared" si="4"/>
        <v>0</v>
      </c>
    </row>
    <row r="82" spans="1:16">
      <c r="A82" s="33"/>
      <c r="B82" s="34"/>
      <c r="C82" s="35"/>
      <c r="D82" s="36"/>
      <c r="E82" s="25"/>
      <c r="F82" s="12"/>
      <c r="G82" s="23"/>
      <c r="H82" s="17">
        <f t="shared" si="2"/>
        <v>0</v>
      </c>
      <c r="I82" s="23"/>
      <c r="J82" s="23">
        <f t="shared" si="1"/>
        <v>0</v>
      </c>
      <c r="K82" s="23"/>
      <c r="L82" s="17">
        <f t="shared" si="3"/>
        <v>0</v>
      </c>
      <c r="M82" s="17">
        <f t="shared" si="4"/>
        <v>0</v>
      </c>
    </row>
    <row r="83" spans="1:16">
      <c r="A83" s="33"/>
      <c r="B83" s="34"/>
      <c r="C83" s="35"/>
      <c r="D83" s="36"/>
      <c r="E83" s="25"/>
      <c r="F83" s="12"/>
      <c r="G83" s="23"/>
      <c r="H83" s="17">
        <f t="shared" si="2"/>
        <v>0</v>
      </c>
      <c r="I83" s="23"/>
      <c r="J83" s="23">
        <f t="shared" si="1"/>
        <v>0</v>
      </c>
      <c r="K83" s="23"/>
      <c r="L83" s="17">
        <f t="shared" si="3"/>
        <v>0</v>
      </c>
      <c r="M83" s="17">
        <f t="shared" si="4"/>
        <v>0</v>
      </c>
    </row>
    <row r="84" spans="1:16" ht="18" thickBot="1">
      <c r="A84" s="37"/>
      <c r="B84" s="38"/>
      <c r="C84" s="39"/>
      <c r="D84" s="40"/>
      <c r="E84" s="29"/>
      <c r="F84" s="13"/>
      <c r="G84" s="24"/>
      <c r="H84" s="17">
        <f t="shared" si="2"/>
        <v>0</v>
      </c>
      <c r="I84" s="24"/>
      <c r="J84" s="23">
        <f t="shared" si="1"/>
        <v>0</v>
      </c>
      <c r="K84" s="24"/>
      <c r="L84" s="17">
        <f t="shared" si="3"/>
        <v>0</v>
      </c>
      <c r="M84" s="17">
        <f t="shared" si="4"/>
        <v>0</v>
      </c>
    </row>
    <row r="85" spans="1:16" ht="19" thickTop="1" thickBot="1">
      <c r="A85" s="41" t="s">
        <v>28</v>
      </c>
      <c r="B85" s="42"/>
      <c r="C85" s="41"/>
      <c r="D85" s="42"/>
      <c r="E85" s="15"/>
      <c r="F85" s="15"/>
      <c r="G85" s="22"/>
      <c r="H85" s="22">
        <f>SUM(H62:H84)</f>
        <v>31485500</v>
      </c>
      <c r="I85" s="22"/>
      <c r="J85" s="22">
        <f>SUM(J62:J84)</f>
        <v>16572700</v>
      </c>
      <c r="K85" s="22"/>
      <c r="L85" s="31">
        <f>SUM(L62:L84)</f>
        <v>11878000</v>
      </c>
      <c r="M85" s="22">
        <f>SUM(M62:M84)</f>
        <v>59936200</v>
      </c>
    </row>
    <row r="88" spans="1:16" ht="18" thickBot="1">
      <c r="A88" t="s">
        <v>21</v>
      </c>
    </row>
    <row r="89" spans="1:16" ht="18" thickBot="1">
      <c r="A89" s="43" t="s">
        <v>24</v>
      </c>
      <c r="B89" s="44"/>
      <c r="C89" s="43" t="s">
        <v>13</v>
      </c>
      <c r="D89" s="44"/>
      <c r="E89" s="47" t="s">
        <v>14</v>
      </c>
      <c r="F89" s="47" t="s">
        <v>15</v>
      </c>
      <c r="G89" s="49" t="s">
        <v>26</v>
      </c>
      <c r="H89" s="50"/>
      <c r="I89" s="49" t="s">
        <v>27</v>
      </c>
      <c r="J89" s="50"/>
      <c r="K89" s="49" t="s">
        <v>25</v>
      </c>
      <c r="L89" s="50"/>
      <c r="M89" s="47" t="s">
        <v>20</v>
      </c>
    </row>
    <row r="90" spans="1:16" ht="18" thickBot="1">
      <c r="A90" s="45"/>
      <c r="B90" s="46"/>
      <c r="C90" s="45"/>
      <c r="D90" s="46"/>
      <c r="E90" s="48"/>
      <c r="F90" s="48"/>
      <c r="G90" s="21" t="s">
        <v>22</v>
      </c>
      <c r="H90" s="21" t="s">
        <v>23</v>
      </c>
      <c r="I90" s="21" t="s">
        <v>22</v>
      </c>
      <c r="J90" s="21" t="s">
        <v>23</v>
      </c>
      <c r="K90" s="21" t="s">
        <v>22</v>
      </c>
      <c r="L90" s="21" t="s">
        <v>23</v>
      </c>
      <c r="M90" s="48"/>
    </row>
    <row r="91" spans="1:16">
      <c r="A91" s="51" t="s">
        <v>79</v>
      </c>
      <c r="B91" s="52"/>
      <c r="C91" s="53"/>
      <c r="D91" s="54"/>
      <c r="E91" s="20"/>
      <c r="F91" s="16"/>
      <c r="G91" s="23"/>
      <c r="H91" s="17">
        <f>F91*G91</f>
        <v>0</v>
      </c>
      <c r="I91" s="23"/>
      <c r="J91" s="23">
        <f t="shared" ref="J91:J113" si="6">F91*I91</f>
        <v>0</v>
      </c>
      <c r="K91" s="23"/>
      <c r="L91" s="17">
        <f>F91*K91</f>
        <v>0</v>
      </c>
      <c r="M91" s="17">
        <f>H91+J91+L91</f>
        <v>0</v>
      </c>
    </row>
    <row r="92" spans="1:16">
      <c r="A92" s="33" t="s">
        <v>81</v>
      </c>
      <c r="B92" s="34"/>
      <c r="C92" s="35" t="s">
        <v>80</v>
      </c>
      <c r="D92" s="36"/>
      <c r="E92" s="25" t="s">
        <v>74</v>
      </c>
      <c r="F92" s="12">
        <v>614</v>
      </c>
      <c r="G92" s="23">
        <v>29850</v>
      </c>
      <c r="H92" s="17">
        <f t="shared" ref="H92:H113" si="7">F92*G92</f>
        <v>18327900</v>
      </c>
      <c r="I92" s="23">
        <v>15500</v>
      </c>
      <c r="J92" s="23">
        <f t="shared" si="6"/>
        <v>9517000</v>
      </c>
      <c r="K92" s="23">
        <v>13050</v>
      </c>
      <c r="L92" s="17">
        <f t="shared" ref="L92:L113" si="8">F92*K92</f>
        <v>8012700</v>
      </c>
      <c r="M92" s="17">
        <f t="shared" ref="M92:M113" si="9">H92+J92+L92</f>
        <v>35857600</v>
      </c>
    </row>
    <row r="93" spans="1:16">
      <c r="A93" s="33"/>
      <c r="B93" s="34"/>
      <c r="C93" s="35"/>
      <c r="D93" s="36"/>
      <c r="E93" s="25"/>
      <c r="F93" s="12"/>
      <c r="G93" s="23"/>
      <c r="H93" s="17">
        <f t="shared" si="7"/>
        <v>0</v>
      </c>
      <c r="I93" s="23"/>
      <c r="J93" s="23">
        <f t="shared" si="6"/>
        <v>0</v>
      </c>
      <c r="K93" s="23"/>
      <c r="L93" s="17">
        <f t="shared" si="8"/>
        <v>0</v>
      </c>
      <c r="M93" s="17">
        <f t="shared" si="9"/>
        <v>0</v>
      </c>
    </row>
    <row r="94" spans="1:16">
      <c r="A94" s="33" t="s">
        <v>83</v>
      </c>
      <c r="B94" s="34"/>
      <c r="C94" s="55" t="s">
        <v>82</v>
      </c>
      <c r="D94" s="56"/>
      <c r="E94" s="25" t="s">
        <v>74</v>
      </c>
      <c r="F94" s="12">
        <v>331</v>
      </c>
      <c r="G94" s="23">
        <v>445800</v>
      </c>
      <c r="H94" s="32">
        <f t="shared" si="7"/>
        <v>147559800</v>
      </c>
      <c r="I94" s="23">
        <v>49500</v>
      </c>
      <c r="J94" s="23">
        <f t="shared" si="6"/>
        <v>16384500</v>
      </c>
      <c r="K94" s="23">
        <v>22500</v>
      </c>
      <c r="L94" s="32">
        <f t="shared" si="8"/>
        <v>7447500</v>
      </c>
      <c r="M94" s="17">
        <f t="shared" si="9"/>
        <v>171391800</v>
      </c>
    </row>
    <row r="95" spans="1:16">
      <c r="A95" s="33" t="s">
        <v>87</v>
      </c>
      <c r="B95" s="34"/>
      <c r="C95" s="35" t="s">
        <v>84</v>
      </c>
      <c r="D95" s="36"/>
      <c r="E95" s="26" t="s">
        <v>85</v>
      </c>
      <c r="F95" s="27">
        <v>20</v>
      </c>
      <c r="G95" s="19">
        <v>432500</v>
      </c>
      <c r="H95" s="17">
        <f t="shared" si="7"/>
        <v>8650000</v>
      </c>
      <c r="I95" s="19">
        <v>285000</v>
      </c>
      <c r="J95" s="23">
        <f t="shared" si="6"/>
        <v>5700000</v>
      </c>
      <c r="K95" s="19">
        <v>168000</v>
      </c>
      <c r="L95" s="17">
        <f t="shared" si="8"/>
        <v>3360000</v>
      </c>
      <c r="M95" s="17">
        <f t="shared" si="9"/>
        <v>17710000</v>
      </c>
    </row>
    <row r="96" spans="1:16">
      <c r="A96" s="33"/>
      <c r="B96" s="34"/>
      <c r="C96" s="35" t="s">
        <v>86</v>
      </c>
      <c r="D96" s="36"/>
      <c r="E96" s="25" t="s">
        <v>74</v>
      </c>
      <c r="F96" s="12">
        <v>15</v>
      </c>
      <c r="G96" s="23">
        <v>457800</v>
      </c>
      <c r="H96" s="17">
        <f t="shared" si="7"/>
        <v>6867000</v>
      </c>
      <c r="I96" s="23">
        <v>250000</v>
      </c>
      <c r="J96" s="23">
        <f t="shared" si="6"/>
        <v>3750000</v>
      </c>
      <c r="K96" s="23">
        <v>165000</v>
      </c>
      <c r="L96" s="17">
        <f t="shared" si="8"/>
        <v>2475000</v>
      </c>
      <c r="M96" s="17">
        <f t="shared" si="9"/>
        <v>13092000</v>
      </c>
      <c r="P96" t="s">
        <v>29</v>
      </c>
    </row>
    <row r="97" spans="1:13">
      <c r="A97" s="33"/>
      <c r="B97" s="34"/>
      <c r="C97" s="35" t="s">
        <v>88</v>
      </c>
      <c r="D97" s="36"/>
      <c r="E97" s="25" t="s">
        <v>89</v>
      </c>
      <c r="F97" s="12">
        <v>26</v>
      </c>
      <c r="G97" s="23">
        <v>478000</v>
      </c>
      <c r="H97" s="17">
        <f t="shared" si="7"/>
        <v>12428000</v>
      </c>
      <c r="I97" s="23">
        <v>125000</v>
      </c>
      <c r="J97" s="23">
        <f t="shared" si="6"/>
        <v>3250000</v>
      </c>
      <c r="K97" s="23">
        <v>95200</v>
      </c>
      <c r="L97" s="17">
        <f t="shared" si="8"/>
        <v>2475200</v>
      </c>
      <c r="M97" s="17">
        <f t="shared" si="9"/>
        <v>18153200</v>
      </c>
    </row>
    <row r="98" spans="1:13">
      <c r="A98" s="57" t="s">
        <v>90</v>
      </c>
      <c r="B98" s="58"/>
      <c r="C98" s="35" t="s">
        <v>91</v>
      </c>
      <c r="D98" s="36"/>
      <c r="E98" s="25" t="s">
        <v>62</v>
      </c>
      <c r="F98" s="12">
        <v>1</v>
      </c>
      <c r="G98" s="23">
        <v>14780000</v>
      </c>
      <c r="H98" s="17">
        <f t="shared" si="7"/>
        <v>14780000</v>
      </c>
      <c r="I98" s="23">
        <v>3250000</v>
      </c>
      <c r="J98" s="23">
        <f t="shared" si="6"/>
        <v>3250000</v>
      </c>
      <c r="K98" s="23">
        <v>3650000</v>
      </c>
      <c r="L98" s="17">
        <f t="shared" si="8"/>
        <v>3650000</v>
      </c>
      <c r="M98" s="17">
        <f t="shared" si="9"/>
        <v>21680000</v>
      </c>
    </row>
    <row r="99" spans="1:13">
      <c r="A99" s="57" t="s">
        <v>94</v>
      </c>
      <c r="B99" s="58"/>
      <c r="C99" s="35" t="s">
        <v>95</v>
      </c>
      <c r="D99" s="36"/>
      <c r="E99" s="26" t="s">
        <v>73</v>
      </c>
      <c r="F99" s="27">
        <v>457</v>
      </c>
      <c r="G99" s="19">
        <v>98500</v>
      </c>
      <c r="H99" s="17">
        <f t="shared" si="7"/>
        <v>45014500</v>
      </c>
      <c r="I99" s="19">
        <v>8520</v>
      </c>
      <c r="J99" s="23">
        <f t="shared" si="6"/>
        <v>3893640</v>
      </c>
      <c r="K99" s="19">
        <v>4250</v>
      </c>
      <c r="L99" s="17">
        <f t="shared" si="8"/>
        <v>1942250</v>
      </c>
      <c r="M99" s="17">
        <f t="shared" si="9"/>
        <v>50850390</v>
      </c>
    </row>
    <row r="100" spans="1:13">
      <c r="A100" s="57" t="s">
        <v>97</v>
      </c>
      <c r="B100" s="58"/>
      <c r="C100" s="55" t="s">
        <v>92</v>
      </c>
      <c r="D100" s="56"/>
      <c r="E100" s="25"/>
      <c r="F100" s="12"/>
      <c r="G100" s="23"/>
      <c r="H100" s="17">
        <f t="shared" si="7"/>
        <v>0</v>
      </c>
      <c r="I100" s="23"/>
      <c r="J100" s="23">
        <f t="shared" si="6"/>
        <v>0</v>
      </c>
      <c r="K100" s="23"/>
      <c r="L100" s="17">
        <f t="shared" si="8"/>
        <v>0</v>
      </c>
      <c r="M100" s="17">
        <f t="shared" si="9"/>
        <v>0</v>
      </c>
    </row>
    <row r="101" spans="1:13">
      <c r="A101" s="33" t="s">
        <v>93</v>
      </c>
      <c r="B101" s="34"/>
      <c r="C101" s="35" t="s">
        <v>96</v>
      </c>
      <c r="D101" s="36"/>
      <c r="E101" s="25" t="s">
        <v>73</v>
      </c>
      <c r="F101" s="12">
        <v>840</v>
      </c>
      <c r="G101" s="23">
        <v>218570</v>
      </c>
      <c r="H101" s="32">
        <f t="shared" si="7"/>
        <v>183598800</v>
      </c>
      <c r="I101" s="23">
        <v>10850</v>
      </c>
      <c r="J101" s="23">
        <f t="shared" si="6"/>
        <v>9114000</v>
      </c>
      <c r="K101" s="23">
        <v>12500</v>
      </c>
      <c r="L101" s="32">
        <f t="shared" si="8"/>
        <v>10500000</v>
      </c>
      <c r="M101" s="17">
        <f t="shared" si="9"/>
        <v>203212800</v>
      </c>
    </row>
    <row r="102" spans="1:13">
      <c r="A102" s="33" t="s">
        <v>99</v>
      </c>
      <c r="B102" s="34"/>
      <c r="C102" s="35" t="s">
        <v>98</v>
      </c>
      <c r="D102" s="36"/>
      <c r="E102" s="26" t="s">
        <v>73</v>
      </c>
      <c r="F102" s="27">
        <v>190</v>
      </c>
      <c r="G102" s="19">
        <v>218570</v>
      </c>
      <c r="H102" s="17">
        <f t="shared" si="7"/>
        <v>41528300</v>
      </c>
      <c r="I102" s="19">
        <v>7850</v>
      </c>
      <c r="J102" s="23">
        <f t="shared" si="6"/>
        <v>1491500</v>
      </c>
      <c r="K102" s="19">
        <v>7550</v>
      </c>
      <c r="L102" s="17">
        <f t="shared" si="8"/>
        <v>1434500</v>
      </c>
      <c r="M102" s="17">
        <f t="shared" si="9"/>
        <v>44454300</v>
      </c>
    </row>
    <row r="103" spans="1:13">
      <c r="A103" s="33"/>
      <c r="B103" s="34"/>
      <c r="C103" s="35"/>
      <c r="D103" s="36"/>
      <c r="E103" s="25"/>
      <c r="F103" s="12"/>
      <c r="G103" s="23"/>
      <c r="H103" s="17">
        <f t="shared" si="7"/>
        <v>0</v>
      </c>
      <c r="I103" s="23"/>
      <c r="J103" s="23">
        <f t="shared" si="6"/>
        <v>0</v>
      </c>
      <c r="K103" s="23"/>
      <c r="L103" s="17">
        <f t="shared" si="8"/>
        <v>0</v>
      </c>
      <c r="M103" s="17">
        <f t="shared" si="9"/>
        <v>0</v>
      </c>
    </row>
    <row r="104" spans="1:13">
      <c r="A104" s="33"/>
      <c r="B104" s="34"/>
      <c r="C104" s="35"/>
      <c r="D104" s="36"/>
      <c r="E104" s="25"/>
      <c r="F104" s="12"/>
      <c r="G104" s="23"/>
      <c r="H104" s="17">
        <f t="shared" si="7"/>
        <v>0</v>
      </c>
      <c r="I104" s="23"/>
      <c r="J104" s="23">
        <f t="shared" si="6"/>
        <v>0</v>
      </c>
      <c r="K104" s="23"/>
      <c r="L104" s="17">
        <f t="shared" si="8"/>
        <v>0</v>
      </c>
      <c r="M104" s="17">
        <f t="shared" si="9"/>
        <v>0</v>
      </c>
    </row>
    <row r="105" spans="1:13">
      <c r="A105" s="33"/>
      <c r="B105" s="34"/>
      <c r="C105" s="35"/>
      <c r="D105" s="36"/>
      <c r="E105" s="25"/>
      <c r="F105" s="12"/>
      <c r="G105" s="23"/>
      <c r="H105" s="17">
        <f t="shared" si="7"/>
        <v>0</v>
      </c>
      <c r="I105" s="23"/>
      <c r="J105" s="23">
        <f t="shared" si="6"/>
        <v>0</v>
      </c>
      <c r="K105" s="23"/>
      <c r="L105" s="17">
        <f t="shared" si="8"/>
        <v>0</v>
      </c>
      <c r="M105" s="17">
        <f t="shared" si="9"/>
        <v>0</v>
      </c>
    </row>
    <row r="106" spans="1:13">
      <c r="A106" s="33"/>
      <c r="B106" s="34"/>
      <c r="C106" s="35"/>
      <c r="D106" s="36"/>
      <c r="E106" s="25"/>
      <c r="F106" s="12"/>
      <c r="G106" s="23"/>
      <c r="H106" s="17">
        <f t="shared" si="7"/>
        <v>0</v>
      </c>
      <c r="I106" s="23"/>
      <c r="J106" s="23">
        <f t="shared" si="6"/>
        <v>0</v>
      </c>
      <c r="K106" s="23"/>
      <c r="L106" s="17">
        <f t="shared" si="8"/>
        <v>0</v>
      </c>
      <c r="M106" s="17">
        <f t="shared" si="9"/>
        <v>0</v>
      </c>
    </row>
    <row r="107" spans="1:13">
      <c r="A107" s="33"/>
      <c r="B107" s="34"/>
      <c r="C107" s="35"/>
      <c r="D107" s="36"/>
      <c r="E107" s="25"/>
      <c r="F107" s="12"/>
      <c r="G107" s="23"/>
      <c r="H107" s="17">
        <f t="shared" si="7"/>
        <v>0</v>
      </c>
      <c r="I107" s="23"/>
      <c r="J107" s="23">
        <f t="shared" si="6"/>
        <v>0</v>
      </c>
      <c r="K107" s="23"/>
      <c r="L107" s="17">
        <f t="shared" si="8"/>
        <v>0</v>
      </c>
      <c r="M107" s="17">
        <f t="shared" si="9"/>
        <v>0</v>
      </c>
    </row>
    <row r="108" spans="1:13">
      <c r="A108" s="33"/>
      <c r="B108" s="34"/>
      <c r="C108" s="35"/>
      <c r="D108" s="36"/>
      <c r="E108" s="25"/>
      <c r="F108" s="12"/>
      <c r="G108" s="23"/>
      <c r="H108" s="17">
        <f t="shared" si="7"/>
        <v>0</v>
      </c>
      <c r="I108" s="23"/>
      <c r="J108" s="23">
        <f t="shared" si="6"/>
        <v>0</v>
      </c>
      <c r="K108" s="23"/>
      <c r="L108" s="17">
        <f t="shared" si="8"/>
        <v>0</v>
      </c>
      <c r="M108" s="17">
        <f t="shared" si="9"/>
        <v>0</v>
      </c>
    </row>
    <row r="109" spans="1:13">
      <c r="A109" s="33"/>
      <c r="B109" s="34"/>
      <c r="C109" s="35"/>
      <c r="D109" s="36"/>
      <c r="E109" s="25"/>
      <c r="F109" s="12"/>
      <c r="G109" s="23"/>
      <c r="H109" s="17">
        <f t="shared" si="7"/>
        <v>0</v>
      </c>
      <c r="I109" s="23"/>
      <c r="J109" s="23">
        <f t="shared" si="6"/>
        <v>0</v>
      </c>
      <c r="K109" s="23"/>
      <c r="L109" s="17">
        <f t="shared" si="8"/>
        <v>0</v>
      </c>
      <c r="M109" s="17">
        <f t="shared" si="9"/>
        <v>0</v>
      </c>
    </row>
    <row r="110" spans="1:13">
      <c r="A110" s="33"/>
      <c r="B110" s="34"/>
      <c r="C110" s="35"/>
      <c r="D110" s="36"/>
      <c r="E110" s="25"/>
      <c r="F110" s="12"/>
      <c r="G110" s="23"/>
      <c r="H110" s="17">
        <f t="shared" si="7"/>
        <v>0</v>
      </c>
      <c r="I110" s="23"/>
      <c r="J110" s="23">
        <f t="shared" si="6"/>
        <v>0</v>
      </c>
      <c r="K110" s="23"/>
      <c r="L110" s="17">
        <f t="shared" si="8"/>
        <v>0</v>
      </c>
      <c r="M110" s="17">
        <f t="shared" si="9"/>
        <v>0</v>
      </c>
    </row>
    <row r="111" spans="1:13">
      <c r="A111" s="33"/>
      <c r="B111" s="34"/>
      <c r="C111" s="35"/>
      <c r="D111" s="36"/>
      <c r="E111" s="25"/>
      <c r="F111" s="12"/>
      <c r="G111" s="23"/>
      <c r="H111" s="17">
        <f t="shared" si="7"/>
        <v>0</v>
      </c>
      <c r="I111" s="23"/>
      <c r="J111" s="23">
        <f t="shared" si="6"/>
        <v>0</v>
      </c>
      <c r="K111" s="23"/>
      <c r="L111" s="17">
        <f t="shared" si="8"/>
        <v>0</v>
      </c>
      <c r="M111" s="17">
        <f t="shared" si="9"/>
        <v>0</v>
      </c>
    </row>
    <row r="112" spans="1:13">
      <c r="A112" s="33"/>
      <c r="B112" s="34"/>
      <c r="C112" s="35"/>
      <c r="D112" s="36"/>
      <c r="E112" s="25"/>
      <c r="F112" s="12"/>
      <c r="G112" s="23"/>
      <c r="H112" s="17">
        <f t="shared" si="7"/>
        <v>0</v>
      </c>
      <c r="I112" s="23"/>
      <c r="J112" s="23">
        <f t="shared" si="6"/>
        <v>0</v>
      </c>
      <c r="K112" s="23"/>
      <c r="L112" s="17">
        <f t="shared" si="8"/>
        <v>0</v>
      </c>
      <c r="M112" s="17">
        <f t="shared" si="9"/>
        <v>0</v>
      </c>
    </row>
    <row r="113" spans="1:16" ht="18" thickBot="1">
      <c r="A113" s="37"/>
      <c r="B113" s="38"/>
      <c r="C113" s="39"/>
      <c r="D113" s="40"/>
      <c r="E113" s="29"/>
      <c r="F113" s="13"/>
      <c r="G113" s="24"/>
      <c r="H113" s="17">
        <f t="shared" si="7"/>
        <v>0</v>
      </c>
      <c r="I113" s="24"/>
      <c r="J113" s="23">
        <f t="shared" si="6"/>
        <v>0</v>
      </c>
      <c r="K113" s="24"/>
      <c r="L113" s="17">
        <f t="shared" si="8"/>
        <v>0</v>
      </c>
      <c r="M113" s="17">
        <f t="shared" si="9"/>
        <v>0</v>
      </c>
    </row>
    <row r="114" spans="1:16" ht="19" thickTop="1" thickBot="1">
      <c r="A114" s="41" t="s">
        <v>28</v>
      </c>
      <c r="B114" s="42"/>
      <c r="C114" s="41"/>
      <c r="D114" s="42"/>
      <c r="E114" s="15"/>
      <c r="F114" s="15"/>
      <c r="G114" s="22"/>
      <c r="H114" s="31">
        <f>SUM(H91:H113)</f>
        <v>478754300</v>
      </c>
      <c r="I114" s="22"/>
      <c r="J114" s="22">
        <f>SUM(J91:J113)</f>
        <v>56350640</v>
      </c>
      <c r="K114" s="22"/>
      <c r="L114" s="31">
        <f>SUM(L91:L113)</f>
        <v>41297150</v>
      </c>
      <c r="M114" s="22">
        <f>SUM(M91:M113)</f>
        <v>576402090</v>
      </c>
    </row>
    <row r="117" spans="1:16" ht="18" thickBot="1">
      <c r="A117" t="s">
        <v>21</v>
      </c>
    </row>
    <row r="118" spans="1:16" ht="18" thickBot="1">
      <c r="A118" s="43" t="s">
        <v>24</v>
      </c>
      <c r="B118" s="44"/>
      <c r="C118" s="43" t="s">
        <v>13</v>
      </c>
      <c r="D118" s="44"/>
      <c r="E118" s="47" t="s">
        <v>14</v>
      </c>
      <c r="F118" s="47" t="s">
        <v>15</v>
      </c>
      <c r="G118" s="49" t="s">
        <v>26</v>
      </c>
      <c r="H118" s="50"/>
      <c r="I118" s="49" t="s">
        <v>27</v>
      </c>
      <c r="J118" s="50"/>
      <c r="K118" s="49" t="s">
        <v>25</v>
      </c>
      <c r="L118" s="50"/>
      <c r="M118" s="47" t="s">
        <v>20</v>
      </c>
    </row>
    <row r="119" spans="1:16" ht="18" thickBot="1">
      <c r="A119" s="45"/>
      <c r="B119" s="46"/>
      <c r="C119" s="45"/>
      <c r="D119" s="46"/>
      <c r="E119" s="48"/>
      <c r="F119" s="48"/>
      <c r="G119" s="21" t="s">
        <v>22</v>
      </c>
      <c r="H119" s="21" t="s">
        <v>23</v>
      </c>
      <c r="I119" s="21" t="s">
        <v>22</v>
      </c>
      <c r="J119" s="21" t="s">
        <v>23</v>
      </c>
      <c r="K119" s="21" t="s">
        <v>22</v>
      </c>
      <c r="L119" s="21" t="s">
        <v>23</v>
      </c>
      <c r="M119" s="48"/>
    </row>
    <row r="120" spans="1:16">
      <c r="A120" s="51" t="s">
        <v>100</v>
      </c>
      <c r="B120" s="52"/>
      <c r="C120" s="53" t="s">
        <v>101</v>
      </c>
      <c r="D120" s="54"/>
      <c r="E120" s="20"/>
      <c r="F120" s="16"/>
      <c r="G120" s="23"/>
      <c r="H120" s="17">
        <f>F120*G120</f>
        <v>0</v>
      </c>
      <c r="I120" s="23"/>
      <c r="J120" s="23">
        <f t="shared" ref="J120:J142" si="10">F120*I120</f>
        <v>0</v>
      </c>
      <c r="K120" s="23"/>
      <c r="L120" s="17">
        <f>F120*K120</f>
        <v>0</v>
      </c>
      <c r="M120" s="17">
        <f>H120+J120+L120</f>
        <v>0</v>
      </c>
    </row>
    <row r="121" spans="1:16">
      <c r="A121" s="80" t="s">
        <v>108</v>
      </c>
      <c r="B121" s="81"/>
      <c r="C121" s="35" t="s">
        <v>102</v>
      </c>
      <c r="D121" s="36"/>
      <c r="E121" s="25" t="s">
        <v>103</v>
      </c>
      <c r="F121" s="12">
        <v>9500</v>
      </c>
      <c r="G121" s="23">
        <v>1620</v>
      </c>
      <c r="H121" s="17">
        <f t="shared" ref="H121:H142" si="11">F121*G121</f>
        <v>15390000</v>
      </c>
      <c r="I121" s="23">
        <v>750</v>
      </c>
      <c r="J121" s="23">
        <f t="shared" si="10"/>
        <v>7125000</v>
      </c>
      <c r="K121" s="23">
        <v>950</v>
      </c>
      <c r="L121" s="32">
        <f t="shared" ref="L121:L142" si="12">F121*K121</f>
        <v>9025000</v>
      </c>
      <c r="M121" s="17">
        <f t="shared" ref="M121:M142" si="13">H121+J121+L121</f>
        <v>31540000</v>
      </c>
    </row>
    <row r="122" spans="1:16">
      <c r="A122" s="33"/>
      <c r="B122" s="34"/>
      <c r="C122" s="35" t="s">
        <v>104</v>
      </c>
      <c r="D122" s="36"/>
      <c r="E122" s="25" t="s">
        <v>105</v>
      </c>
      <c r="F122" s="12">
        <v>18</v>
      </c>
      <c r="G122" s="23">
        <v>80000</v>
      </c>
      <c r="H122" s="17">
        <f t="shared" si="11"/>
        <v>1440000</v>
      </c>
      <c r="I122" s="23">
        <v>135000</v>
      </c>
      <c r="J122" s="23">
        <f t="shared" si="10"/>
        <v>2430000</v>
      </c>
      <c r="K122" s="23">
        <v>150000</v>
      </c>
      <c r="L122" s="17">
        <f t="shared" si="12"/>
        <v>2700000</v>
      </c>
      <c r="M122" s="17">
        <f t="shared" si="13"/>
        <v>6570000</v>
      </c>
    </row>
    <row r="123" spans="1:16">
      <c r="A123" s="80" t="s">
        <v>107</v>
      </c>
      <c r="B123" s="81"/>
      <c r="C123" s="35" t="s">
        <v>106</v>
      </c>
      <c r="D123" s="36"/>
      <c r="E123" s="25" t="s">
        <v>62</v>
      </c>
      <c r="F123" s="12">
        <v>1</v>
      </c>
      <c r="G123" s="23">
        <v>2200000</v>
      </c>
      <c r="H123" s="17">
        <f t="shared" si="11"/>
        <v>2200000</v>
      </c>
      <c r="I123" s="23">
        <v>1250000</v>
      </c>
      <c r="J123" s="23">
        <f t="shared" si="10"/>
        <v>1250000</v>
      </c>
      <c r="K123" s="23">
        <v>325000</v>
      </c>
      <c r="L123" s="17">
        <f t="shared" si="12"/>
        <v>325000</v>
      </c>
      <c r="M123" s="17">
        <f t="shared" si="13"/>
        <v>3775000</v>
      </c>
    </row>
    <row r="124" spans="1:16">
      <c r="A124" s="33"/>
      <c r="B124" s="34"/>
      <c r="C124" s="35" t="s">
        <v>109</v>
      </c>
      <c r="D124" s="36"/>
      <c r="E124" s="26" t="s">
        <v>72</v>
      </c>
      <c r="F124" s="27">
        <v>1</v>
      </c>
      <c r="G124" s="19"/>
      <c r="H124" s="17">
        <f t="shared" si="11"/>
        <v>0</v>
      </c>
      <c r="I124" s="19"/>
      <c r="J124" s="23">
        <f t="shared" si="10"/>
        <v>0</v>
      </c>
      <c r="K124" s="19">
        <v>2700000</v>
      </c>
      <c r="L124" s="17">
        <f t="shared" si="12"/>
        <v>2700000</v>
      </c>
      <c r="M124" s="17">
        <f t="shared" si="13"/>
        <v>2700000</v>
      </c>
    </row>
    <row r="125" spans="1:16">
      <c r="A125" s="33"/>
      <c r="B125" s="34"/>
      <c r="C125" s="35" t="s">
        <v>110</v>
      </c>
      <c r="D125" s="36"/>
      <c r="E125" s="25" t="s">
        <v>85</v>
      </c>
      <c r="F125" s="12">
        <v>5</v>
      </c>
      <c r="G125" s="23">
        <v>85000</v>
      </c>
      <c r="H125" s="17">
        <f t="shared" si="11"/>
        <v>425000</v>
      </c>
      <c r="I125" s="23"/>
      <c r="J125" s="23">
        <f t="shared" si="10"/>
        <v>0</v>
      </c>
      <c r="K125" s="23"/>
      <c r="L125" s="17">
        <f t="shared" si="12"/>
        <v>0</v>
      </c>
      <c r="M125" s="17">
        <f t="shared" si="13"/>
        <v>425000</v>
      </c>
      <c r="P125" t="s">
        <v>29</v>
      </c>
    </row>
    <row r="126" spans="1:16">
      <c r="A126" s="33"/>
      <c r="B126" s="34"/>
      <c r="C126" s="35"/>
      <c r="D126" s="36"/>
      <c r="E126" s="25"/>
      <c r="F126" s="12"/>
      <c r="G126" s="23"/>
      <c r="H126" s="17">
        <f t="shared" si="11"/>
        <v>0</v>
      </c>
      <c r="I126" s="23"/>
      <c r="J126" s="23">
        <f t="shared" si="10"/>
        <v>0</v>
      </c>
      <c r="K126" s="23"/>
      <c r="L126" s="17">
        <f t="shared" si="12"/>
        <v>0</v>
      </c>
      <c r="M126" s="17">
        <f t="shared" si="13"/>
        <v>0</v>
      </c>
    </row>
    <row r="127" spans="1:16">
      <c r="A127" s="80" t="s">
        <v>112</v>
      </c>
      <c r="B127" s="81"/>
      <c r="C127" s="35" t="s">
        <v>111</v>
      </c>
      <c r="D127" s="36"/>
      <c r="E127" s="25" t="s">
        <v>62</v>
      </c>
      <c r="F127" s="12">
        <v>1</v>
      </c>
      <c r="G127" s="23">
        <v>48000000</v>
      </c>
      <c r="H127" s="17">
        <f t="shared" si="11"/>
        <v>48000000</v>
      </c>
      <c r="I127" s="23">
        <v>13500000</v>
      </c>
      <c r="J127" s="23">
        <f t="shared" si="10"/>
        <v>13500000</v>
      </c>
      <c r="K127" s="23">
        <v>3500000</v>
      </c>
      <c r="L127" s="17">
        <f t="shared" si="12"/>
        <v>3500000</v>
      </c>
      <c r="M127" s="17">
        <f t="shared" si="13"/>
        <v>65000000</v>
      </c>
    </row>
    <row r="128" spans="1:16">
      <c r="A128" s="33"/>
      <c r="B128" s="34"/>
      <c r="C128" s="35"/>
      <c r="D128" s="36"/>
      <c r="E128" s="26"/>
      <c r="F128" s="27"/>
      <c r="G128" s="19"/>
      <c r="H128" s="17">
        <f t="shared" si="11"/>
        <v>0</v>
      </c>
      <c r="I128" s="19"/>
      <c r="J128" s="23">
        <f t="shared" si="10"/>
        <v>0</v>
      </c>
      <c r="K128" s="19"/>
      <c r="L128" s="17">
        <f t="shared" si="12"/>
        <v>0</v>
      </c>
      <c r="M128" s="17">
        <f t="shared" si="13"/>
        <v>0</v>
      </c>
    </row>
    <row r="129" spans="1:13">
      <c r="A129" s="33" t="s">
        <v>113</v>
      </c>
      <c r="B129" s="34"/>
      <c r="C129" s="35" t="s">
        <v>114</v>
      </c>
      <c r="D129" s="36"/>
      <c r="E129" s="25" t="s">
        <v>74</v>
      </c>
      <c r="F129" s="12">
        <v>237</v>
      </c>
      <c r="G129" s="23">
        <v>168900</v>
      </c>
      <c r="H129" s="17">
        <f t="shared" si="11"/>
        <v>40029300</v>
      </c>
      <c r="I129" s="23">
        <v>46550</v>
      </c>
      <c r="J129" s="23">
        <f t="shared" si="10"/>
        <v>11032350</v>
      </c>
      <c r="K129" s="23">
        <v>6250</v>
      </c>
      <c r="L129" s="17">
        <f t="shared" si="12"/>
        <v>1481250</v>
      </c>
      <c r="M129" s="17">
        <f t="shared" si="13"/>
        <v>52542900</v>
      </c>
    </row>
    <row r="130" spans="1:13">
      <c r="A130" s="33"/>
      <c r="B130" s="34"/>
      <c r="C130" s="35" t="s">
        <v>115</v>
      </c>
      <c r="D130" s="36"/>
      <c r="E130" s="25" t="s">
        <v>116</v>
      </c>
      <c r="F130" s="12">
        <v>308</v>
      </c>
      <c r="G130" s="23">
        <v>6000</v>
      </c>
      <c r="H130" s="17">
        <f t="shared" si="11"/>
        <v>1848000</v>
      </c>
      <c r="I130" s="23">
        <v>7200</v>
      </c>
      <c r="J130" s="23">
        <f t="shared" si="10"/>
        <v>2217600</v>
      </c>
      <c r="K130" s="23">
        <v>3250</v>
      </c>
      <c r="L130" s="17">
        <f t="shared" si="12"/>
        <v>1001000</v>
      </c>
      <c r="M130" s="17">
        <f t="shared" si="13"/>
        <v>5066600</v>
      </c>
    </row>
    <row r="131" spans="1:13">
      <c r="A131" s="80" t="s">
        <v>117</v>
      </c>
      <c r="B131" s="81"/>
      <c r="C131" s="35" t="s">
        <v>118</v>
      </c>
      <c r="D131" s="36"/>
      <c r="E131" s="26" t="s">
        <v>85</v>
      </c>
      <c r="F131" s="27">
        <v>684</v>
      </c>
      <c r="G131" s="19">
        <v>12900</v>
      </c>
      <c r="H131" s="17">
        <f t="shared" si="11"/>
        <v>8823600</v>
      </c>
      <c r="I131" s="19">
        <v>11440</v>
      </c>
      <c r="J131" s="23">
        <f t="shared" si="10"/>
        <v>7824960</v>
      </c>
      <c r="K131" s="19">
        <v>3250</v>
      </c>
      <c r="L131" s="17">
        <f t="shared" si="12"/>
        <v>2223000</v>
      </c>
      <c r="M131" s="17">
        <f t="shared" si="13"/>
        <v>18871560</v>
      </c>
    </row>
    <row r="132" spans="1:13">
      <c r="A132" s="33"/>
      <c r="B132" s="34"/>
      <c r="C132" s="35" t="s">
        <v>119</v>
      </c>
      <c r="D132" s="36"/>
      <c r="E132" s="25" t="s">
        <v>62</v>
      </c>
      <c r="F132" s="12">
        <v>1</v>
      </c>
      <c r="G132" s="23">
        <v>350000</v>
      </c>
      <c r="H132" s="17">
        <f t="shared" si="11"/>
        <v>350000</v>
      </c>
      <c r="I132" s="23"/>
      <c r="J132" s="23">
        <f t="shared" si="10"/>
        <v>0</v>
      </c>
      <c r="K132" s="23">
        <v>1200000</v>
      </c>
      <c r="L132" s="17">
        <f t="shared" si="12"/>
        <v>1200000</v>
      </c>
      <c r="M132" s="17">
        <f t="shared" si="13"/>
        <v>1550000</v>
      </c>
    </row>
    <row r="133" spans="1:13">
      <c r="A133" s="33"/>
      <c r="B133" s="34"/>
      <c r="C133" s="35"/>
      <c r="D133" s="36"/>
      <c r="E133" s="25"/>
      <c r="F133" s="12"/>
      <c r="G133" s="23"/>
      <c r="H133" s="17">
        <f t="shared" si="11"/>
        <v>0</v>
      </c>
      <c r="I133" s="23"/>
      <c r="J133" s="23">
        <f t="shared" si="10"/>
        <v>0</v>
      </c>
      <c r="K133" s="23"/>
      <c r="L133" s="17">
        <f t="shared" si="12"/>
        <v>0</v>
      </c>
      <c r="M133" s="17">
        <f t="shared" si="13"/>
        <v>0</v>
      </c>
    </row>
    <row r="134" spans="1:13">
      <c r="A134" s="33"/>
      <c r="B134" s="34"/>
      <c r="C134" s="35"/>
      <c r="D134" s="36"/>
      <c r="E134" s="25"/>
      <c r="F134" s="12"/>
      <c r="G134" s="23"/>
      <c r="H134" s="17">
        <f t="shared" si="11"/>
        <v>0</v>
      </c>
      <c r="I134" s="23"/>
      <c r="J134" s="23">
        <f t="shared" si="10"/>
        <v>0</v>
      </c>
      <c r="K134" s="23"/>
      <c r="L134" s="17">
        <f t="shared" si="12"/>
        <v>0</v>
      </c>
      <c r="M134" s="17">
        <f t="shared" si="13"/>
        <v>0</v>
      </c>
    </row>
    <row r="135" spans="1:13">
      <c r="A135" s="33"/>
      <c r="B135" s="34"/>
      <c r="C135" s="35"/>
      <c r="D135" s="36"/>
      <c r="E135" s="25"/>
      <c r="F135" s="12"/>
      <c r="G135" s="23"/>
      <c r="H135" s="17">
        <f t="shared" si="11"/>
        <v>0</v>
      </c>
      <c r="I135" s="23"/>
      <c r="J135" s="23">
        <f t="shared" si="10"/>
        <v>0</v>
      </c>
      <c r="K135" s="23"/>
      <c r="L135" s="17">
        <f t="shared" si="12"/>
        <v>0</v>
      </c>
      <c r="M135" s="17">
        <f t="shared" si="13"/>
        <v>0</v>
      </c>
    </row>
    <row r="136" spans="1:13">
      <c r="A136" s="33"/>
      <c r="B136" s="34"/>
      <c r="C136" s="35"/>
      <c r="D136" s="36"/>
      <c r="E136" s="25"/>
      <c r="F136" s="12"/>
      <c r="G136" s="23"/>
      <c r="H136" s="17">
        <f t="shared" si="11"/>
        <v>0</v>
      </c>
      <c r="I136" s="23"/>
      <c r="J136" s="23">
        <f t="shared" si="10"/>
        <v>0</v>
      </c>
      <c r="K136" s="23"/>
      <c r="L136" s="17">
        <f t="shared" si="12"/>
        <v>0</v>
      </c>
      <c r="M136" s="17">
        <f t="shared" si="13"/>
        <v>0</v>
      </c>
    </row>
    <row r="137" spans="1:13">
      <c r="A137" s="33"/>
      <c r="B137" s="34"/>
      <c r="C137" s="35"/>
      <c r="D137" s="36"/>
      <c r="E137" s="25"/>
      <c r="F137" s="12"/>
      <c r="G137" s="23"/>
      <c r="H137" s="17">
        <f t="shared" si="11"/>
        <v>0</v>
      </c>
      <c r="I137" s="23"/>
      <c r="J137" s="23">
        <f t="shared" si="10"/>
        <v>0</v>
      </c>
      <c r="K137" s="23"/>
      <c r="L137" s="17">
        <f t="shared" si="12"/>
        <v>0</v>
      </c>
      <c r="M137" s="17">
        <f t="shared" si="13"/>
        <v>0</v>
      </c>
    </row>
    <row r="138" spans="1:13">
      <c r="A138" s="33"/>
      <c r="B138" s="34"/>
      <c r="C138" s="35"/>
      <c r="D138" s="36"/>
      <c r="E138" s="25"/>
      <c r="F138" s="12"/>
      <c r="G138" s="23"/>
      <c r="H138" s="17">
        <f t="shared" si="11"/>
        <v>0</v>
      </c>
      <c r="I138" s="23"/>
      <c r="J138" s="23">
        <f t="shared" si="10"/>
        <v>0</v>
      </c>
      <c r="K138" s="23"/>
      <c r="L138" s="17">
        <f t="shared" si="12"/>
        <v>0</v>
      </c>
      <c r="M138" s="17">
        <f t="shared" si="13"/>
        <v>0</v>
      </c>
    </row>
    <row r="139" spans="1:13">
      <c r="A139" s="33"/>
      <c r="B139" s="34"/>
      <c r="C139" s="35"/>
      <c r="D139" s="36"/>
      <c r="E139" s="25"/>
      <c r="F139" s="12"/>
      <c r="G139" s="23"/>
      <c r="H139" s="17">
        <f t="shared" si="11"/>
        <v>0</v>
      </c>
      <c r="I139" s="23"/>
      <c r="J139" s="23">
        <f t="shared" si="10"/>
        <v>0</v>
      </c>
      <c r="K139" s="23"/>
      <c r="L139" s="17">
        <f t="shared" si="12"/>
        <v>0</v>
      </c>
      <c r="M139" s="17">
        <f t="shared" si="13"/>
        <v>0</v>
      </c>
    </row>
    <row r="140" spans="1:13">
      <c r="A140" s="33"/>
      <c r="B140" s="34"/>
      <c r="C140" s="35"/>
      <c r="D140" s="36"/>
      <c r="E140" s="25"/>
      <c r="F140" s="12"/>
      <c r="G140" s="23"/>
      <c r="H140" s="17">
        <f t="shared" si="11"/>
        <v>0</v>
      </c>
      <c r="I140" s="23"/>
      <c r="J140" s="23">
        <f t="shared" si="10"/>
        <v>0</v>
      </c>
      <c r="K140" s="23"/>
      <c r="L140" s="17">
        <f t="shared" si="12"/>
        <v>0</v>
      </c>
      <c r="M140" s="17">
        <f t="shared" si="13"/>
        <v>0</v>
      </c>
    </row>
    <row r="141" spans="1:13">
      <c r="A141" s="33"/>
      <c r="B141" s="34"/>
      <c r="C141" s="35"/>
      <c r="D141" s="36"/>
      <c r="E141" s="25"/>
      <c r="F141" s="12"/>
      <c r="G141" s="23"/>
      <c r="H141" s="17">
        <f t="shared" si="11"/>
        <v>0</v>
      </c>
      <c r="I141" s="23"/>
      <c r="J141" s="23">
        <f t="shared" si="10"/>
        <v>0</v>
      </c>
      <c r="K141" s="23"/>
      <c r="L141" s="17">
        <f t="shared" si="12"/>
        <v>0</v>
      </c>
      <c r="M141" s="17">
        <f t="shared" si="13"/>
        <v>0</v>
      </c>
    </row>
    <row r="142" spans="1:13" ht="18" thickBot="1">
      <c r="A142" s="37"/>
      <c r="B142" s="38"/>
      <c r="C142" s="39"/>
      <c r="D142" s="40"/>
      <c r="E142" s="29"/>
      <c r="F142" s="13"/>
      <c r="G142" s="24"/>
      <c r="H142" s="17">
        <f t="shared" si="11"/>
        <v>0</v>
      </c>
      <c r="I142" s="24"/>
      <c r="J142" s="23">
        <f t="shared" si="10"/>
        <v>0</v>
      </c>
      <c r="K142" s="24"/>
      <c r="L142" s="17">
        <f t="shared" si="12"/>
        <v>0</v>
      </c>
      <c r="M142" s="17">
        <f t="shared" si="13"/>
        <v>0</v>
      </c>
    </row>
    <row r="143" spans="1:13" ht="19" thickTop="1" thickBot="1">
      <c r="A143" s="41" t="s">
        <v>28</v>
      </c>
      <c r="B143" s="42"/>
      <c r="C143" s="41"/>
      <c r="D143" s="42"/>
      <c r="E143" s="15"/>
      <c r="F143" s="15"/>
      <c r="G143" s="22"/>
      <c r="H143" s="31">
        <f>SUM(H120:H142)</f>
        <v>118505900</v>
      </c>
      <c r="I143" s="22"/>
      <c r="J143" s="22">
        <f>SUM(J120:J142)</f>
        <v>45379910</v>
      </c>
      <c r="K143" s="22"/>
      <c r="L143" s="31">
        <f>SUM(L120:L142)</f>
        <v>24155250</v>
      </c>
      <c r="M143" s="22">
        <f>SUM(M120:M142)</f>
        <v>188041060</v>
      </c>
    </row>
    <row r="146" spans="1:16" ht="18" thickBot="1">
      <c r="A146" t="s">
        <v>21</v>
      </c>
    </row>
    <row r="147" spans="1:16" ht="18" thickBot="1">
      <c r="A147" s="43" t="s">
        <v>24</v>
      </c>
      <c r="B147" s="44"/>
      <c r="C147" s="43" t="s">
        <v>13</v>
      </c>
      <c r="D147" s="44"/>
      <c r="E147" s="47" t="s">
        <v>14</v>
      </c>
      <c r="F147" s="47" t="s">
        <v>15</v>
      </c>
      <c r="G147" s="49" t="s">
        <v>26</v>
      </c>
      <c r="H147" s="50"/>
      <c r="I147" s="49" t="s">
        <v>27</v>
      </c>
      <c r="J147" s="50"/>
      <c r="K147" s="49" t="s">
        <v>25</v>
      </c>
      <c r="L147" s="50"/>
      <c r="M147" s="47" t="s">
        <v>20</v>
      </c>
    </row>
    <row r="148" spans="1:16" ht="18" thickBot="1">
      <c r="A148" s="45"/>
      <c r="B148" s="46"/>
      <c r="C148" s="45"/>
      <c r="D148" s="46"/>
      <c r="E148" s="48"/>
      <c r="F148" s="48"/>
      <c r="G148" s="21" t="s">
        <v>22</v>
      </c>
      <c r="H148" s="21" t="s">
        <v>23</v>
      </c>
      <c r="I148" s="21" t="s">
        <v>22</v>
      </c>
      <c r="J148" s="21" t="s">
        <v>23</v>
      </c>
      <c r="K148" s="21" t="s">
        <v>22</v>
      </c>
      <c r="L148" s="21" t="s">
        <v>23</v>
      </c>
      <c r="M148" s="48"/>
    </row>
    <row r="149" spans="1:16">
      <c r="A149" s="51" t="s">
        <v>120</v>
      </c>
      <c r="B149" s="52"/>
      <c r="C149" s="53"/>
      <c r="D149" s="54"/>
      <c r="E149" s="20"/>
      <c r="F149" s="16"/>
      <c r="G149" s="23"/>
      <c r="H149" s="17">
        <f>F149*G149</f>
        <v>0</v>
      </c>
      <c r="I149" s="23"/>
      <c r="J149" s="23">
        <f t="shared" ref="J149:J171" si="14">F149*I149</f>
        <v>0</v>
      </c>
      <c r="K149" s="23"/>
      <c r="L149" s="17">
        <f>F149*K149</f>
        <v>0</v>
      </c>
      <c r="M149" s="17">
        <f>H149+J149+L149</f>
        <v>0</v>
      </c>
    </row>
    <row r="150" spans="1:16">
      <c r="A150" s="33"/>
      <c r="B150" s="34"/>
      <c r="C150" s="35"/>
      <c r="D150" s="36"/>
      <c r="E150" s="25"/>
      <c r="F150" s="12"/>
      <c r="G150" s="23"/>
      <c r="H150" s="17">
        <f t="shared" ref="H150:H171" si="15">F150*G150</f>
        <v>0</v>
      </c>
      <c r="I150" s="23"/>
      <c r="J150" s="23">
        <f t="shared" si="14"/>
        <v>0</v>
      </c>
      <c r="K150" s="23"/>
      <c r="L150" s="17">
        <f t="shared" ref="L150:L171" si="16">F150*K150</f>
        <v>0</v>
      </c>
      <c r="M150" s="17">
        <f t="shared" ref="M150:M171" si="17">H150+J150+L150</f>
        <v>0</v>
      </c>
    </row>
    <row r="151" spans="1:16">
      <c r="A151" s="33"/>
      <c r="B151" s="34"/>
      <c r="C151" s="35"/>
      <c r="D151" s="36"/>
      <c r="E151" s="25"/>
      <c r="F151" s="12"/>
      <c r="G151" s="23"/>
      <c r="H151" s="17">
        <f t="shared" si="15"/>
        <v>0</v>
      </c>
      <c r="I151" s="23"/>
      <c r="J151" s="23">
        <f t="shared" si="14"/>
        <v>0</v>
      </c>
      <c r="K151" s="23"/>
      <c r="L151" s="17">
        <f t="shared" si="16"/>
        <v>0</v>
      </c>
      <c r="M151" s="17">
        <f t="shared" si="17"/>
        <v>0</v>
      </c>
    </row>
    <row r="152" spans="1:16">
      <c r="A152" s="33"/>
      <c r="B152" s="34"/>
      <c r="C152" s="35"/>
      <c r="D152" s="36"/>
      <c r="E152" s="25"/>
      <c r="F152" s="12"/>
      <c r="G152" s="23"/>
      <c r="H152" s="17">
        <f t="shared" si="15"/>
        <v>0</v>
      </c>
      <c r="I152" s="23"/>
      <c r="J152" s="23">
        <f t="shared" si="14"/>
        <v>0</v>
      </c>
      <c r="K152" s="23"/>
      <c r="L152" s="17">
        <f t="shared" si="16"/>
        <v>0</v>
      </c>
      <c r="M152" s="17">
        <f t="shared" si="17"/>
        <v>0</v>
      </c>
    </row>
    <row r="153" spans="1:16">
      <c r="A153" s="33"/>
      <c r="B153" s="34"/>
      <c r="C153" s="35"/>
      <c r="D153" s="36"/>
      <c r="E153" s="26"/>
      <c r="F153" s="27"/>
      <c r="G153" s="19"/>
      <c r="H153" s="17">
        <f t="shared" si="15"/>
        <v>0</v>
      </c>
      <c r="I153" s="19"/>
      <c r="J153" s="23">
        <f t="shared" si="14"/>
        <v>0</v>
      </c>
      <c r="K153" s="19"/>
      <c r="L153" s="17">
        <f t="shared" si="16"/>
        <v>0</v>
      </c>
      <c r="M153" s="17">
        <f t="shared" si="17"/>
        <v>0</v>
      </c>
    </row>
    <row r="154" spans="1:16">
      <c r="A154" s="33"/>
      <c r="B154" s="34"/>
      <c r="C154" s="35"/>
      <c r="D154" s="36"/>
      <c r="E154" s="25"/>
      <c r="F154" s="12"/>
      <c r="G154" s="23"/>
      <c r="H154" s="17">
        <f t="shared" si="15"/>
        <v>0</v>
      </c>
      <c r="I154" s="23"/>
      <c r="J154" s="23">
        <f t="shared" si="14"/>
        <v>0</v>
      </c>
      <c r="K154" s="23"/>
      <c r="L154" s="17">
        <f t="shared" si="16"/>
        <v>0</v>
      </c>
      <c r="M154" s="17">
        <f t="shared" si="17"/>
        <v>0</v>
      </c>
      <c r="P154" t="s">
        <v>29</v>
      </c>
    </row>
    <row r="155" spans="1:16">
      <c r="A155" s="33"/>
      <c r="B155" s="34"/>
      <c r="C155" s="35"/>
      <c r="D155" s="36"/>
      <c r="E155" s="25"/>
      <c r="F155" s="12"/>
      <c r="G155" s="23"/>
      <c r="H155" s="17">
        <f t="shared" si="15"/>
        <v>0</v>
      </c>
      <c r="I155" s="23"/>
      <c r="J155" s="23">
        <f t="shared" si="14"/>
        <v>0</v>
      </c>
      <c r="K155" s="23"/>
      <c r="L155" s="17">
        <f t="shared" si="16"/>
        <v>0</v>
      </c>
      <c r="M155" s="17">
        <f t="shared" si="17"/>
        <v>0</v>
      </c>
    </row>
    <row r="156" spans="1:16">
      <c r="A156" s="33"/>
      <c r="B156" s="34"/>
      <c r="C156" s="35"/>
      <c r="D156" s="36"/>
      <c r="E156" s="25"/>
      <c r="F156" s="12"/>
      <c r="G156" s="23"/>
      <c r="H156" s="17">
        <f t="shared" si="15"/>
        <v>0</v>
      </c>
      <c r="I156" s="23"/>
      <c r="J156" s="23">
        <f t="shared" si="14"/>
        <v>0</v>
      </c>
      <c r="K156" s="23"/>
      <c r="L156" s="17">
        <f t="shared" si="16"/>
        <v>0</v>
      </c>
      <c r="M156" s="17">
        <f t="shared" si="17"/>
        <v>0</v>
      </c>
    </row>
    <row r="157" spans="1:16">
      <c r="A157" s="33"/>
      <c r="B157" s="34"/>
      <c r="C157" s="35"/>
      <c r="D157" s="36"/>
      <c r="E157" s="26"/>
      <c r="F157" s="27"/>
      <c r="G157" s="19"/>
      <c r="H157" s="17">
        <f t="shared" si="15"/>
        <v>0</v>
      </c>
      <c r="I157" s="19"/>
      <c r="J157" s="23">
        <f t="shared" si="14"/>
        <v>0</v>
      </c>
      <c r="K157" s="19"/>
      <c r="L157" s="17">
        <f t="shared" si="16"/>
        <v>0</v>
      </c>
      <c r="M157" s="17">
        <f t="shared" si="17"/>
        <v>0</v>
      </c>
    </row>
    <row r="158" spans="1:16">
      <c r="A158" s="33"/>
      <c r="B158" s="34"/>
      <c r="C158" s="35"/>
      <c r="D158" s="36"/>
      <c r="E158" s="25"/>
      <c r="F158" s="12"/>
      <c r="G158" s="23"/>
      <c r="H158" s="17">
        <f t="shared" si="15"/>
        <v>0</v>
      </c>
      <c r="I158" s="23"/>
      <c r="J158" s="23">
        <f t="shared" si="14"/>
        <v>0</v>
      </c>
      <c r="K158" s="23"/>
      <c r="L158" s="17">
        <f t="shared" si="16"/>
        <v>0</v>
      </c>
      <c r="M158" s="17">
        <f t="shared" si="17"/>
        <v>0</v>
      </c>
    </row>
    <row r="159" spans="1:16">
      <c r="A159" s="33"/>
      <c r="B159" s="34"/>
      <c r="C159" s="35"/>
      <c r="D159" s="36"/>
      <c r="E159" s="25"/>
      <c r="F159" s="12"/>
      <c r="G159" s="23"/>
      <c r="H159" s="17">
        <f t="shared" si="15"/>
        <v>0</v>
      </c>
      <c r="I159" s="23"/>
      <c r="J159" s="23">
        <f t="shared" si="14"/>
        <v>0</v>
      </c>
      <c r="K159" s="23"/>
      <c r="L159" s="17">
        <f t="shared" si="16"/>
        <v>0</v>
      </c>
      <c r="M159" s="17">
        <f t="shared" si="17"/>
        <v>0</v>
      </c>
    </row>
    <row r="160" spans="1:16">
      <c r="A160" s="33"/>
      <c r="B160" s="34"/>
      <c r="C160" s="35"/>
      <c r="D160" s="36"/>
      <c r="E160" s="26"/>
      <c r="F160" s="27"/>
      <c r="G160" s="19"/>
      <c r="H160" s="17">
        <f t="shared" si="15"/>
        <v>0</v>
      </c>
      <c r="I160" s="19"/>
      <c r="J160" s="23">
        <f t="shared" si="14"/>
        <v>0</v>
      </c>
      <c r="K160" s="19"/>
      <c r="L160" s="17">
        <f t="shared" si="16"/>
        <v>0</v>
      </c>
      <c r="M160" s="17">
        <f t="shared" si="17"/>
        <v>0</v>
      </c>
    </row>
    <row r="161" spans="1:13">
      <c r="A161" s="33"/>
      <c r="B161" s="34"/>
      <c r="C161" s="35"/>
      <c r="D161" s="36"/>
      <c r="E161" s="25"/>
      <c r="F161" s="12"/>
      <c r="G161" s="23"/>
      <c r="H161" s="17">
        <f t="shared" si="15"/>
        <v>0</v>
      </c>
      <c r="I161" s="23"/>
      <c r="J161" s="23">
        <f t="shared" si="14"/>
        <v>0</v>
      </c>
      <c r="K161" s="23"/>
      <c r="L161" s="17">
        <f t="shared" si="16"/>
        <v>0</v>
      </c>
      <c r="M161" s="17">
        <f t="shared" si="17"/>
        <v>0</v>
      </c>
    </row>
    <row r="162" spans="1:13">
      <c r="A162" s="33"/>
      <c r="B162" s="34"/>
      <c r="C162" s="35"/>
      <c r="D162" s="36"/>
      <c r="E162" s="25"/>
      <c r="F162" s="12"/>
      <c r="G162" s="23"/>
      <c r="H162" s="17">
        <f t="shared" si="15"/>
        <v>0</v>
      </c>
      <c r="I162" s="23"/>
      <c r="J162" s="23">
        <f t="shared" si="14"/>
        <v>0</v>
      </c>
      <c r="K162" s="23"/>
      <c r="L162" s="17">
        <f t="shared" si="16"/>
        <v>0</v>
      </c>
      <c r="M162" s="17">
        <f t="shared" si="17"/>
        <v>0</v>
      </c>
    </row>
    <row r="163" spans="1:13">
      <c r="A163" s="33"/>
      <c r="B163" s="34"/>
      <c r="C163" s="35"/>
      <c r="D163" s="36"/>
      <c r="E163" s="25"/>
      <c r="F163" s="12"/>
      <c r="G163" s="23"/>
      <c r="H163" s="17">
        <f t="shared" si="15"/>
        <v>0</v>
      </c>
      <c r="I163" s="23"/>
      <c r="J163" s="23">
        <f t="shared" si="14"/>
        <v>0</v>
      </c>
      <c r="K163" s="23"/>
      <c r="L163" s="17">
        <f t="shared" si="16"/>
        <v>0</v>
      </c>
      <c r="M163" s="17">
        <f t="shared" si="17"/>
        <v>0</v>
      </c>
    </row>
    <row r="164" spans="1:13">
      <c r="A164" s="33"/>
      <c r="B164" s="34"/>
      <c r="C164" s="35"/>
      <c r="D164" s="36"/>
      <c r="E164" s="25"/>
      <c r="F164" s="12"/>
      <c r="G164" s="23"/>
      <c r="H164" s="17">
        <f t="shared" si="15"/>
        <v>0</v>
      </c>
      <c r="I164" s="23"/>
      <c r="J164" s="23">
        <f t="shared" si="14"/>
        <v>0</v>
      </c>
      <c r="K164" s="23"/>
      <c r="L164" s="17">
        <f t="shared" si="16"/>
        <v>0</v>
      </c>
      <c r="M164" s="17">
        <f t="shared" si="17"/>
        <v>0</v>
      </c>
    </row>
    <row r="165" spans="1:13">
      <c r="A165" s="33"/>
      <c r="B165" s="34"/>
      <c r="C165" s="35"/>
      <c r="D165" s="36"/>
      <c r="E165" s="25"/>
      <c r="F165" s="12"/>
      <c r="G165" s="23"/>
      <c r="H165" s="17">
        <f t="shared" si="15"/>
        <v>0</v>
      </c>
      <c r="I165" s="23"/>
      <c r="J165" s="23">
        <f t="shared" si="14"/>
        <v>0</v>
      </c>
      <c r="K165" s="23"/>
      <c r="L165" s="17">
        <f t="shared" si="16"/>
        <v>0</v>
      </c>
      <c r="M165" s="17">
        <f t="shared" si="17"/>
        <v>0</v>
      </c>
    </row>
    <row r="166" spans="1:13">
      <c r="A166" s="33"/>
      <c r="B166" s="34"/>
      <c r="C166" s="35"/>
      <c r="D166" s="36"/>
      <c r="E166" s="25"/>
      <c r="F166" s="12"/>
      <c r="G166" s="23"/>
      <c r="H166" s="17">
        <f t="shared" si="15"/>
        <v>0</v>
      </c>
      <c r="I166" s="23"/>
      <c r="J166" s="23">
        <f t="shared" si="14"/>
        <v>0</v>
      </c>
      <c r="K166" s="23"/>
      <c r="L166" s="17">
        <f t="shared" si="16"/>
        <v>0</v>
      </c>
      <c r="M166" s="17">
        <f t="shared" si="17"/>
        <v>0</v>
      </c>
    </row>
    <row r="167" spans="1:13">
      <c r="A167" s="33"/>
      <c r="B167" s="34"/>
      <c r="C167" s="35"/>
      <c r="D167" s="36"/>
      <c r="E167" s="25"/>
      <c r="F167" s="12"/>
      <c r="G167" s="23"/>
      <c r="H167" s="17">
        <f t="shared" si="15"/>
        <v>0</v>
      </c>
      <c r="I167" s="23"/>
      <c r="J167" s="23">
        <f t="shared" si="14"/>
        <v>0</v>
      </c>
      <c r="K167" s="23"/>
      <c r="L167" s="17">
        <f t="shared" si="16"/>
        <v>0</v>
      </c>
      <c r="M167" s="17">
        <f t="shared" si="17"/>
        <v>0</v>
      </c>
    </row>
    <row r="168" spans="1:13">
      <c r="A168" s="33"/>
      <c r="B168" s="34"/>
      <c r="C168" s="35"/>
      <c r="D168" s="36"/>
      <c r="E168" s="25"/>
      <c r="F168" s="12"/>
      <c r="G168" s="23"/>
      <c r="H168" s="17">
        <f t="shared" si="15"/>
        <v>0</v>
      </c>
      <c r="I168" s="23"/>
      <c r="J168" s="23">
        <f t="shared" si="14"/>
        <v>0</v>
      </c>
      <c r="K168" s="23"/>
      <c r="L168" s="17">
        <f t="shared" si="16"/>
        <v>0</v>
      </c>
      <c r="M168" s="17">
        <f t="shared" si="17"/>
        <v>0</v>
      </c>
    </row>
    <row r="169" spans="1:13">
      <c r="A169" s="33"/>
      <c r="B169" s="34"/>
      <c r="C169" s="35"/>
      <c r="D169" s="36"/>
      <c r="E169" s="25"/>
      <c r="F169" s="12"/>
      <c r="G169" s="23"/>
      <c r="H169" s="17">
        <f t="shared" si="15"/>
        <v>0</v>
      </c>
      <c r="I169" s="23"/>
      <c r="J169" s="23">
        <f t="shared" si="14"/>
        <v>0</v>
      </c>
      <c r="K169" s="23"/>
      <c r="L169" s="17">
        <f t="shared" si="16"/>
        <v>0</v>
      </c>
      <c r="M169" s="17">
        <f t="shared" si="17"/>
        <v>0</v>
      </c>
    </row>
    <row r="170" spans="1:13">
      <c r="A170" s="33"/>
      <c r="B170" s="34"/>
      <c r="C170" s="35"/>
      <c r="D170" s="36"/>
      <c r="E170" s="25"/>
      <c r="F170" s="12"/>
      <c r="G170" s="23"/>
      <c r="H170" s="17">
        <f t="shared" si="15"/>
        <v>0</v>
      </c>
      <c r="I170" s="23"/>
      <c r="J170" s="23">
        <f t="shared" si="14"/>
        <v>0</v>
      </c>
      <c r="K170" s="23"/>
      <c r="L170" s="17">
        <f t="shared" si="16"/>
        <v>0</v>
      </c>
      <c r="M170" s="17">
        <f t="shared" si="17"/>
        <v>0</v>
      </c>
    </row>
    <row r="171" spans="1:13" ht="18" thickBot="1">
      <c r="A171" s="37"/>
      <c r="B171" s="38"/>
      <c r="C171" s="39"/>
      <c r="D171" s="40"/>
      <c r="E171" s="29"/>
      <c r="F171" s="13"/>
      <c r="G171" s="24"/>
      <c r="H171" s="17">
        <f t="shared" si="15"/>
        <v>0</v>
      </c>
      <c r="I171" s="24"/>
      <c r="J171" s="23">
        <f t="shared" si="14"/>
        <v>0</v>
      </c>
      <c r="K171" s="24"/>
      <c r="L171" s="17">
        <f t="shared" si="16"/>
        <v>0</v>
      </c>
      <c r="M171" s="17">
        <f t="shared" si="17"/>
        <v>0</v>
      </c>
    </row>
    <row r="172" spans="1:13" ht="19" thickTop="1" thickBot="1">
      <c r="A172" s="41" t="s">
        <v>28</v>
      </c>
      <c r="B172" s="42"/>
      <c r="C172" s="41"/>
      <c r="D172" s="42"/>
      <c r="E172" s="15"/>
      <c r="F172" s="15"/>
      <c r="G172" s="22"/>
      <c r="H172" s="22">
        <f>SUM(H149:H171)</f>
        <v>0</v>
      </c>
      <c r="I172" s="22"/>
      <c r="J172" s="22">
        <f>SUM(J149:J171)</f>
        <v>0</v>
      </c>
      <c r="K172" s="22"/>
      <c r="L172" s="22">
        <f>SUM(L149:L171)</f>
        <v>0</v>
      </c>
      <c r="M172" s="22">
        <f>SUM(M149:M171)</f>
        <v>0</v>
      </c>
    </row>
    <row r="175" spans="1:13" ht="18" thickBot="1">
      <c r="A175" t="s">
        <v>21</v>
      </c>
    </row>
    <row r="176" spans="1:13" ht="18" thickBot="1">
      <c r="A176" s="43" t="s">
        <v>24</v>
      </c>
      <c r="B176" s="44"/>
      <c r="C176" s="43" t="s">
        <v>13</v>
      </c>
      <c r="D176" s="44"/>
      <c r="E176" s="47" t="s">
        <v>14</v>
      </c>
      <c r="F176" s="47" t="s">
        <v>15</v>
      </c>
      <c r="G176" s="49" t="s">
        <v>26</v>
      </c>
      <c r="H176" s="50"/>
      <c r="I176" s="49" t="s">
        <v>27</v>
      </c>
      <c r="J176" s="50"/>
      <c r="K176" s="49" t="s">
        <v>25</v>
      </c>
      <c r="L176" s="50"/>
      <c r="M176" s="47" t="s">
        <v>20</v>
      </c>
    </row>
    <row r="177" spans="1:16" ht="18" thickBot="1">
      <c r="A177" s="45"/>
      <c r="B177" s="46"/>
      <c r="C177" s="45"/>
      <c r="D177" s="46"/>
      <c r="E177" s="48"/>
      <c r="F177" s="48"/>
      <c r="G177" s="21" t="s">
        <v>22</v>
      </c>
      <c r="H177" s="21" t="s">
        <v>23</v>
      </c>
      <c r="I177" s="21" t="s">
        <v>22</v>
      </c>
      <c r="J177" s="21" t="s">
        <v>23</v>
      </c>
      <c r="K177" s="21" t="s">
        <v>22</v>
      </c>
      <c r="L177" s="21" t="s">
        <v>23</v>
      </c>
      <c r="M177" s="48"/>
    </row>
    <row r="178" spans="1:16">
      <c r="A178" s="51"/>
      <c r="B178" s="52"/>
      <c r="C178" s="53"/>
      <c r="D178" s="54"/>
      <c r="E178" s="20"/>
      <c r="F178" s="16"/>
      <c r="G178" s="23"/>
      <c r="H178" s="17">
        <f>F178*G178</f>
        <v>0</v>
      </c>
      <c r="I178" s="23"/>
      <c r="J178" s="23">
        <f t="shared" ref="J178:J200" si="18">F178*I178</f>
        <v>0</v>
      </c>
      <c r="K178" s="23"/>
      <c r="L178" s="17">
        <f>F178*K178</f>
        <v>0</v>
      </c>
      <c r="M178" s="17">
        <f>H178+J178+L178</f>
        <v>0</v>
      </c>
    </row>
    <row r="179" spans="1:16">
      <c r="A179" s="33"/>
      <c r="B179" s="34"/>
      <c r="C179" s="35"/>
      <c r="D179" s="36"/>
      <c r="E179" s="25"/>
      <c r="F179" s="12"/>
      <c r="G179" s="23"/>
      <c r="H179" s="17">
        <f t="shared" ref="H179:H200" si="19">F179*G179</f>
        <v>0</v>
      </c>
      <c r="I179" s="23"/>
      <c r="J179" s="23">
        <f t="shared" si="18"/>
        <v>0</v>
      </c>
      <c r="K179" s="23"/>
      <c r="L179" s="17">
        <f t="shared" ref="L179:L200" si="20">F179*K179</f>
        <v>0</v>
      </c>
      <c r="M179" s="17">
        <f t="shared" ref="M179:M200" si="21">H179+J179+L179</f>
        <v>0</v>
      </c>
    </row>
    <row r="180" spans="1:16">
      <c r="A180" s="33"/>
      <c r="B180" s="34"/>
      <c r="C180" s="35"/>
      <c r="D180" s="36"/>
      <c r="E180" s="25"/>
      <c r="F180" s="12"/>
      <c r="G180" s="23"/>
      <c r="H180" s="17">
        <f t="shared" si="19"/>
        <v>0</v>
      </c>
      <c r="I180" s="23"/>
      <c r="J180" s="23">
        <f t="shared" si="18"/>
        <v>0</v>
      </c>
      <c r="K180" s="23"/>
      <c r="L180" s="17">
        <f t="shared" si="20"/>
        <v>0</v>
      </c>
      <c r="M180" s="17">
        <f t="shared" si="21"/>
        <v>0</v>
      </c>
    </row>
    <row r="181" spans="1:16">
      <c r="A181" s="33"/>
      <c r="B181" s="34"/>
      <c r="C181" s="35"/>
      <c r="D181" s="36"/>
      <c r="E181" s="25"/>
      <c r="F181" s="12"/>
      <c r="G181" s="23"/>
      <c r="H181" s="17">
        <f t="shared" si="19"/>
        <v>0</v>
      </c>
      <c r="I181" s="23"/>
      <c r="J181" s="23">
        <f t="shared" si="18"/>
        <v>0</v>
      </c>
      <c r="K181" s="23"/>
      <c r="L181" s="17">
        <f t="shared" si="20"/>
        <v>0</v>
      </c>
      <c r="M181" s="17">
        <f t="shared" si="21"/>
        <v>0</v>
      </c>
    </row>
    <row r="182" spans="1:16">
      <c r="A182" s="33"/>
      <c r="B182" s="34"/>
      <c r="C182" s="35"/>
      <c r="D182" s="36"/>
      <c r="E182" s="26"/>
      <c r="F182" s="27"/>
      <c r="G182" s="19"/>
      <c r="H182" s="17">
        <f t="shared" si="19"/>
        <v>0</v>
      </c>
      <c r="I182" s="19"/>
      <c r="J182" s="23">
        <f t="shared" si="18"/>
        <v>0</v>
      </c>
      <c r="K182" s="19"/>
      <c r="L182" s="17">
        <f t="shared" si="20"/>
        <v>0</v>
      </c>
      <c r="M182" s="17">
        <f t="shared" si="21"/>
        <v>0</v>
      </c>
    </row>
    <row r="183" spans="1:16">
      <c r="A183" s="33"/>
      <c r="B183" s="34"/>
      <c r="C183" s="35"/>
      <c r="D183" s="36"/>
      <c r="E183" s="25"/>
      <c r="F183" s="12"/>
      <c r="G183" s="23"/>
      <c r="H183" s="17">
        <f t="shared" si="19"/>
        <v>0</v>
      </c>
      <c r="I183" s="23"/>
      <c r="J183" s="23">
        <f t="shared" si="18"/>
        <v>0</v>
      </c>
      <c r="K183" s="23"/>
      <c r="L183" s="17">
        <f t="shared" si="20"/>
        <v>0</v>
      </c>
      <c r="M183" s="17">
        <f t="shared" si="21"/>
        <v>0</v>
      </c>
      <c r="P183" t="s">
        <v>29</v>
      </c>
    </row>
    <row r="184" spans="1:16">
      <c r="A184" s="33"/>
      <c r="B184" s="34"/>
      <c r="C184" s="35"/>
      <c r="D184" s="36"/>
      <c r="E184" s="25"/>
      <c r="F184" s="12"/>
      <c r="G184" s="23"/>
      <c r="H184" s="17">
        <f t="shared" si="19"/>
        <v>0</v>
      </c>
      <c r="I184" s="23"/>
      <c r="J184" s="23">
        <f t="shared" si="18"/>
        <v>0</v>
      </c>
      <c r="K184" s="23"/>
      <c r="L184" s="17">
        <f t="shared" si="20"/>
        <v>0</v>
      </c>
      <c r="M184" s="17">
        <f t="shared" si="21"/>
        <v>0</v>
      </c>
    </row>
    <row r="185" spans="1:16">
      <c r="A185" s="33"/>
      <c r="B185" s="34"/>
      <c r="C185" s="35"/>
      <c r="D185" s="36"/>
      <c r="E185" s="25"/>
      <c r="F185" s="12"/>
      <c r="G185" s="23"/>
      <c r="H185" s="17">
        <f t="shared" si="19"/>
        <v>0</v>
      </c>
      <c r="I185" s="23"/>
      <c r="J185" s="23">
        <f t="shared" si="18"/>
        <v>0</v>
      </c>
      <c r="K185" s="23"/>
      <c r="L185" s="17">
        <f t="shared" si="20"/>
        <v>0</v>
      </c>
      <c r="M185" s="17">
        <f t="shared" si="21"/>
        <v>0</v>
      </c>
    </row>
    <row r="186" spans="1:16">
      <c r="A186" s="33"/>
      <c r="B186" s="34"/>
      <c r="C186" s="35"/>
      <c r="D186" s="36"/>
      <c r="E186" s="26"/>
      <c r="F186" s="27"/>
      <c r="G186" s="19"/>
      <c r="H186" s="17">
        <f t="shared" si="19"/>
        <v>0</v>
      </c>
      <c r="I186" s="19"/>
      <c r="J186" s="23">
        <f t="shared" si="18"/>
        <v>0</v>
      </c>
      <c r="K186" s="19"/>
      <c r="L186" s="17">
        <f t="shared" si="20"/>
        <v>0</v>
      </c>
      <c r="M186" s="17">
        <f t="shared" si="21"/>
        <v>0</v>
      </c>
    </row>
    <row r="187" spans="1:16">
      <c r="A187" s="33"/>
      <c r="B187" s="34"/>
      <c r="C187" s="35"/>
      <c r="D187" s="36"/>
      <c r="E187" s="25"/>
      <c r="F187" s="12"/>
      <c r="G187" s="23"/>
      <c r="H187" s="17">
        <f t="shared" si="19"/>
        <v>0</v>
      </c>
      <c r="I187" s="23"/>
      <c r="J187" s="23">
        <f t="shared" si="18"/>
        <v>0</v>
      </c>
      <c r="K187" s="23"/>
      <c r="L187" s="17">
        <f t="shared" si="20"/>
        <v>0</v>
      </c>
      <c r="M187" s="17">
        <f t="shared" si="21"/>
        <v>0</v>
      </c>
    </row>
    <row r="188" spans="1:16">
      <c r="A188" s="33"/>
      <c r="B188" s="34"/>
      <c r="C188" s="35"/>
      <c r="D188" s="36"/>
      <c r="E188" s="25"/>
      <c r="F188" s="12"/>
      <c r="G188" s="23"/>
      <c r="H188" s="17">
        <f t="shared" si="19"/>
        <v>0</v>
      </c>
      <c r="I188" s="23"/>
      <c r="J188" s="23">
        <f t="shared" si="18"/>
        <v>0</v>
      </c>
      <c r="K188" s="23"/>
      <c r="L188" s="17">
        <f t="shared" si="20"/>
        <v>0</v>
      </c>
      <c r="M188" s="17">
        <f t="shared" si="21"/>
        <v>0</v>
      </c>
    </row>
    <row r="189" spans="1:16">
      <c r="A189" s="33"/>
      <c r="B189" s="34"/>
      <c r="C189" s="35"/>
      <c r="D189" s="36"/>
      <c r="E189" s="26"/>
      <c r="F189" s="27"/>
      <c r="G189" s="19"/>
      <c r="H189" s="17">
        <f t="shared" si="19"/>
        <v>0</v>
      </c>
      <c r="I189" s="19"/>
      <c r="J189" s="23">
        <f t="shared" si="18"/>
        <v>0</v>
      </c>
      <c r="K189" s="19"/>
      <c r="L189" s="17">
        <f t="shared" si="20"/>
        <v>0</v>
      </c>
      <c r="M189" s="17">
        <f t="shared" si="21"/>
        <v>0</v>
      </c>
    </row>
    <row r="190" spans="1:16">
      <c r="A190" s="33"/>
      <c r="B190" s="34"/>
      <c r="C190" s="35"/>
      <c r="D190" s="36"/>
      <c r="E190" s="25"/>
      <c r="F190" s="12"/>
      <c r="G190" s="23"/>
      <c r="H190" s="17">
        <f t="shared" si="19"/>
        <v>0</v>
      </c>
      <c r="I190" s="23"/>
      <c r="J190" s="23">
        <f t="shared" si="18"/>
        <v>0</v>
      </c>
      <c r="K190" s="23"/>
      <c r="L190" s="17">
        <f t="shared" si="20"/>
        <v>0</v>
      </c>
      <c r="M190" s="17">
        <f t="shared" si="21"/>
        <v>0</v>
      </c>
    </row>
    <row r="191" spans="1:16">
      <c r="A191" s="33"/>
      <c r="B191" s="34"/>
      <c r="C191" s="35"/>
      <c r="D191" s="36"/>
      <c r="E191" s="25"/>
      <c r="F191" s="12"/>
      <c r="G191" s="23"/>
      <c r="H191" s="17">
        <f t="shared" si="19"/>
        <v>0</v>
      </c>
      <c r="I191" s="23"/>
      <c r="J191" s="23">
        <f t="shared" si="18"/>
        <v>0</v>
      </c>
      <c r="K191" s="23"/>
      <c r="L191" s="17">
        <f t="shared" si="20"/>
        <v>0</v>
      </c>
      <c r="M191" s="17">
        <f t="shared" si="21"/>
        <v>0</v>
      </c>
    </row>
    <row r="192" spans="1:16">
      <c r="A192" s="33"/>
      <c r="B192" s="34"/>
      <c r="C192" s="35"/>
      <c r="D192" s="36"/>
      <c r="E192" s="25"/>
      <c r="F192" s="12"/>
      <c r="G192" s="23"/>
      <c r="H192" s="17">
        <f t="shared" si="19"/>
        <v>0</v>
      </c>
      <c r="I192" s="23"/>
      <c r="J192" s="23">
        <f t="shared" si="18"/>
        <v>0</v>
      </c>
      <c r="K192" s="23"/>
      <c r="L192" s="17">
        <f t="shared" si="20"/>
        <v>0</v>
      </c>
      <c r="M192" s="17">
        <f t="shared" si="21"/>
        <v>0</v>
      </c>
    </row>
    <row r="193" spans="1:13">
      <c r="A193" s="33"/>
      <c r="B193" s="34"/>
      <c r="C193" s="35"/>
      <c r="D193" s="36"/>
      <c r="E193" s="25"/>
      <c r="F193" s="12"/>
      <c r="G193" s="23"/>
      <c r="H193" s="17">
        <f t="shared" si="19"/>
        <v>0</v>
      </c>
      <c r="I193" s="23"/>
      <c r="J193" s="23">
        <f t="shared" si="18"/>
        <v>0</v>
      </c>
      <c r="K193" s="23"/>
      <c r="L193" s="17">
        <f t="shared" si="20"/>
        <v>0</v>
      </c>
      <c r="M193" s="17">
        <f t="shared" si="21"/>
        <v>0</v>
      </c>
    </row>
    <row r="194" spans="1:13">
      <c r="A194" s="33"/>
      <c r="B194" s="34"/>
      <c r="C194" s="35"/>
      <c r="D194" s="36"/>
      <c r="E194" s="25"/>
      <c r="F194" s="12"/>
      <c r="G194" s="23"/>
      <c r="H194" s="17">
        <f t="shared" si="19"/>
        <v>0</v>
      </c>
      <c r="I194" s="23"/>
      <c r="J194" s="23">
        <f t="shared" si="18"/>
        <v>0</v>
      </c>
      <c r="K194" s="23"/>
      <c r="L194" s="17">
        <f t="shared" si="20"/>
        <v>0</v>
      </c>
      <c r="M194" s="17">
        <f t="shared" si="21"/>
        <v>0</v>
      </c>
    </row>
    <row r="195" spans="1:13">
      <c r="A195" s="33"/>
      <c r="B195" s="34"/>
      <c r="C195" s="35"/>
      <c r="D195" s="36"/>
      <c r="E195" s="25"/>
      <c r="F195" s="12"/>
      <c r="G195" s="23"/>
      <c r="H195" s="17">
        <f t="shared" si="19"/>
        <v>0</v>
      </c>
      <c r="I195" s="23"/>
      <c r="J195" s="23">
        <f t="shared" si="18"/>
        <v>0</v>
      </c>
      <c r="K195" s="23"/>
      <c r="L195" s="17">
        <f t="shared" si="20"/>
        <v>0</v>
      </c>
      <c r="M195" s="17">
        <f t="shared" si="21"/>
        <v>0</v>
      </c>
    </row>
    <row r="196" spans="1:13">
      <c r="A196" s="33"/>
      <c r="B196" s="34"/>
      <c r="C196" s="35"/>
      <c r="D196" s="36"/>
      <c r="E196" s="25"/>
      <c r="F196" s="12"/>
      <c r="G196" s="23"/>
      <c r="H196" s="17">
        <f t="shared" si="19"/>
        <v>0</v>
      </c>
      <c r="I196" s="23"/>
      <c r="J196" s="23">
        <f t="shared" si="18"/>
        <v>0</v>
      </c>
      <c r="K196" s="23"/>
      <c r="L196" s="17">
        <f t="shared" si="20"/>
        <v>0</v>
      </c>
      <c r="M196" s="17">
        <f t="shared" si="21"/>
        <v>0</v>
      </c>
    </row>
    <row r="197" spans="1:13">
      <c r="A197" s="33"/>
      <c r="B197" s="34"/>
      <c r="C197" s="35"/>
      <c r="D197" s="36"/>
      <c r="E197" s="25"/>
      <c r="F197" s="12"/>
      <c r="G197" s="23"/>
      <c r="H197" s="17">
        <f t="shared" si="19"/>
        <v>0</v>
      </c>
      <c r="I197" s="23"/>
      <c r="J197" s="23">
        <f t="shared" si="18"/>
        <v>0</v>
      </c>
      <c r="K197" s="23"/>
      <c r="L197" s="17">
        <f t="shared" si="20"/>
        <v>0</v>
      </c>
      <c r="M197" s="17">
        <f t="shared" si="21"/>
        <v>0</v>
      </c>
    </row>
    <row r="198" spans="1:13">
      <c r="A198" s="33"/>
      <c r="B198" s="34"/>
      <c r="C198" s="35"/>
      <c r="D198" s="36"/>
      <c r="E198" s="25"/>
      <c r="F198" s="12"/>
      <c r="G198" s="23"/>
      <c r="H198" s="17">
        <f t="shared" si="19"/>
        <v>0</v>
      </c>
      <c r="I198" s="23"/>
      <c r="J198" s="23">
        <f t="shared" si="18"/>
        <v>0</v>
      </c>
      <c r="K198" s="23"/>
      <c r="L198" s="17">
        <f t="shared" si="20"/>
        <v>0</v>
      </c>
      <c r="M198" s="17">
        <f t="shared" si="21"/>
        <v>0</v>
      </c>
    </row>
    <row r="199" spans="1:13">
      <c r="A199" s="33"/>
      <c r="B199" s="34"/>
      <c r="C199" s="35"/>
      <c r="D199" s="36"/>
      <c r="E199" s="25"/>
      <c r="F199" s="12"/>
      <c r="G199" s="23"/>
      <c r="H199" s="17">
        <f t="shared" si="19"/>
        <v>0</v>
      </c>
      <c r="I199" s="23"/>
      <c r="J199" s="23">
        <f t="shared" si="18"/>
        <v>0</v>
      </c>
      <c r="K199" s="23"/>
      <c r="L199" s="17">
        <f t="shared" si="20"/>
        <v>0</v>
      </c>
      <c r="M199" s="17">
        <f t="shared" si="21"/>
        <v>0</v>
      </c>
    </row>
    <row r="200" spans="1:13" ht="18" thickBot="1">
      <c r="A200" s="37"/>
      <c r="B200" s="38"/>
      <c r="C200" s="39"/>
      <c r="D200" s="40"/>
      <c r="E200" s="29"/>
      <c r="F200" s="13"/>
      <c r="G200" s="24"/>
      <c r="H200" s="17">
        <f t="shared" si="19"/>
        <v>0</v>
      </c>
      <c r="I200" s="24"/>
      <c r="J200" s="23">
        <f t="shared" si="18"/>
        <v>0</v>
      </c>
      <c r="K200" s="24"/>
      <c r="L200" s="17">
        <f t="shared" si="20"/>
        <v>0</v>
      </c>
      <c r="M200" s="17">
        <f t="shared" si="21"/>
        <v>0</v>
      </c>
    </row>
    <row r="201" spans="1:13" ht="19" thickTop="1" thickBot="1">
      <c r="A201" s="41" t="s">
        <v>28</v>
      </c>
      <c r="B201" s="42"/>
      <c r="C201" s="41"/>
      <c r="D201" s="42"/>
      <c r="E201" s="15"/>
      <c r="F201" s="15"/>
      <c r="G201" s="22"/>
      <c r="H201" s="22">
        <f>SUM(H178:H200)</f>
        <v>0</v>
      </c>
      <c r="I201" s="22"/>
      <c r="J201" s="22">
        <f>SUM(J178:J200)</f>
        <v>0</v>
      </c>
      <c r="K201" s="22"/>
      <c r="L201" s="22">
        <f>SUM(L178:L200)</f>
        <v>0</v>
      </c>
      <c r="M201" s="22">
        <f>SUM(M178:M200)</f>
        <v>0</v>
      </c>
    </row>
    <row r="204" spans="1:13" ht="18" thickBot="1">
      <c r="A204" t="s">
        <v>21</v>
      </c>
    </row>
    <row r="205" spans="1:13" ht="18" thickBot="1">
      <c r="A205" s="43" t="s">
        <v>24</v>
      </c>
      <c r="B205" s="44"/>
      <c r="C205" s="43" t="s">
        <v>13</v>
      </c>
      <c r="D205" s="44"/>
      <c r="E205" s="47" t="s">
        <v>14</v>
      </c>
      <c r="F205" s="47" t="s">
        <v>15</v>
      </c>
      <c r="G205" s="49" t="s">
        <v>26</v>
      </c>
      <c r="H205" s="50"/>
      <c r="I205" s="49" t="s">
        <v>27</v>
      </c>
      <c r="J205" s="50"/>
      <c r="K205" s="49" t="s">
        <v>25</v>
      </c>
      <c r="L205" s="50"/>
      <c r="M205" s="47" t="s">
        <v>20</v>
      </c>
    </row>
    <row r="206" spans="1:13" ht="18" thickBot="1">
      <c r="A206" s="45"/>
      <c r="B206" s="46"/>
      <c r="C206" s="45"/>
      <c r="D206" s="46"/>
      <c r="E206" s="48"/>
      <c r="F206" s="48"/>
      <c r="G206" s="21" t="s">
        <v>22</v>
      </c>
      <c r="H206" s="21" t="s">
        <v>23</v>
      </c>
      <c r="I206" s="21" t="s">
        <v>22</v>
      </c>
      <c r="J206" s="21" t="s">
        <v>23</v>
      </c>
      <c r="K206" s="21" t="s">
        <v>22</v>
      </c>
      <c r="L206" s="21" t="s">
        <v>23</v>
      </c>
      <c r="M206" s="48"/>
    </row>
    <row r="207" spans="1:13">
      <c r="A207" s="51"/>
      <c r="B207" s="52"/>
      <c r="C207" s="53"/>
      <c r="D207" s="54"/>
      <c r="E207" s="20"/>
      <c r="F207" s="16"/>
      <c r="G207" s="23"/>
      <c r="H207" s="17">
        <f>F207*G207</f>
        <v>0</v>
      </c>
      <c r="I207" s="23"/>
      <c r="J207" s="23">
        <f t="shared" ref="J207:J229" si="22">F207*I207</f>
        <v>0</v>
      </c>
      <c r="K207" s="23"/>
      <c r="L207" s="17">
        <f>F207*K207</f>
        <v>0</v>
      </c>
      <c r="M207" s="17">
        <f>H207+J207+L207</f>
        <v>0</v>
      </c>
    </row>
    <row r="208" spans="1:13">
      <c r="A208" s="33"/>
      <c r="B208" s="34"/>
      <c r="C208" s="35"/>
      <c r="D208" s="36"/>
      <c r="E208" s="25"/>
      <c r="F208" s="12"/>
      <c r="G208" s="23"/>
      <c r="H208" s="17">
        <f t="shared" ref="H208:H229" si="23">F208*G208</f>
        <v>0</v>
      </c>
      <c r="I208" s="23"/>
      <c r="J208" s="23">
        <f t="shared" si="22"/>
        <v>0</v>
      </c>
      <c r="K208" s="23"/>
      <c r="L208" s="17">
        <f t="shared" ref="L208:L229" si="24">F208*K208</f>
        <v>0</v>
      </c>
      <c r="M208" s="17">
        <f t="shared" ref="M208:M229" si="25">H208+J208+L208</f>
        <v>0</v>
      </c>
    </row>
    <row r="209" spans="1:16">
      <c r="A209" s="33"/>
      <c r="B209" s="34"/>
      <c r="C209" s="35"/>
      <c r="D209" s="36"/>
      <c r="E209" s="25"/>
      <c r="F209" s="12"/>
      <c r="G209" s="23"/>
      <c r="H209" s="17">
        <f t="shared" si="23"/>
        <v>0</v>
      </c>
      <c r="I209" s="23"/>
      <c r="J209" s="23">
        <f t="shared" si="22"/>
        <v>0</v>
      </c>
      <c r="K209" s="23"/>
      <c r="L209" s="17">
        <f t="shared" si="24"/>
        <v>0</v>
      </c>
      <c r="M209" s="17">
        <f t="shared" si="25"/>
        <v>0</v>
      </c>
    </row>
    <row r="210" spans="1:16">
      <c r="A210" s="33"/>
      <c r="B210" s="34"/>
      <c r="C210" s="35"/>
      <c r="D210" s="36"/>
      <c r="E210" s="25"/>
      <c r="F210" s="12"/>
      <c r="G210" s="23"/>
      <c r="H210" s="17">
        <f t="shared" si="23"/>
        <v>0</v>
      </c>
      <c r="I210" s="23"/>
      <c r="J210" s="23">
        <f t="shared" si="22"/>
        <v>0</v>
      </c>
      <c r="K210" s="23"/>
      <c r="L210" s="17">
        <f t="shared" si="24"/>
        <v>0</v>
      </c>
      <c r="M210" s="17">
        <f t="shared" si="25"/>
        <v>0</v>
      </c>
    </row>
    <row r="211" spans="1:16">
      <c r="A211" s="33"/>
      <c r="B211" s="34"/>
      <c r="C211" s="35"/>
      <c r="D211" s="36"/>
      <c r="E211" s="26"/>
      <c r="F211" s="27"/>
      <c r="G211" s="19"/>
      <c r="H211" s="17">
        <f t="shared" si="23"/>
        <v>0</v>
      </c>
      <c r="I211" s="19"/>
      <c r="J211" s="23">
        <f t="shared" si="22"/>
        <v>0</v>
      </c>
      <c r="K211" s="19"/>
      <c r="L211" s="17">
        <f t="shared" si="24"/>
        <v>0</v>
      </c>
      <c r="M211" s="17">
        <f t="shared" si="25"/>
        <v>0</v>
      </c>
    </row>
    <row r="212" spans="1:16">
      <c r="A212" s="33"/>
      <c r="B212" s="34"/>
      <c r="C212" s="35"/>
      <c r="D212" s="36"/>
      <c r="E212" s="25"/>
      <c r="F212" s="12"/>
      <c r="G212" s="23"/>
      <c r="H212" s="17">
        <f t="shared" si="23"/>
        <v>0</v>
      </c>
      <c r="I212" s="23"/>
      <c r="J212" s="23">
        <f t="shared" si="22"/>
        <v>0</v>
      </c>
      <c r="K212" s="23"/>
      <c r="L212" s="17">
        <f t="shared" si="24"/>
        <v>0</v>
      </c>
      <c r="M212" s="17">
        <f t="shared" si="25"/>
        <v>0</v>
      </c>
      <c r="P212" t="s">
        <v>29</v>
      </c>
    </row>
    <row r="213" spans="1:16">
      <c r="A213" s="33"/>
      <c r="B213" s="34"/>
      <c r="C213" s="35"/>
      <c r="D213" s="36"/>
      <c r="E213" s="25"/>
      <c r="F213" s="12"/>
      <c r="G213" s="23"/>
      <c r="H213" s="17">
        <f t="shared" si="23"/>
        <v>0</v>
      </c>
      <c r="I213" s="23"/>
      <c r="J213" s="23">
        <f t="shared" si="22"/>
        <v>0</v>
      </c>
      <c r="K213" s="23"/>
      <c r="L213" s="17">
        <f t="shared" si="24"/>
        <v>0</v>
      </c>
      <c r="M213" s="17">
        <f t="shared" si="25"/>
        <v>0</v>
      </c>
    </row>
    <row r="214" spans="1:16">
      <c r="A214" s="33"/>
      <c r="B214" s="34"/>
      <c r="C214" s="35"/>
      <c r="D214" s="36"/>
      <c r="E214" s="25"/>
      <c r="F214" s="12"/>
      <c r="G214" s="23"/>
      <c r="H214" s="17">
        <f t="shared" si="23"/>
        <v>0</v>
      </c>
      <c r="I214" s="23"/>
      <c r="J214" s="23">
        <f t="shared" si="22"/>
        <v>0</v>
      </c>
      <c r="K214" s="23"/>
      <c r="L214" s="17">
        <f t="shared" si="24"/>
        <v>0</v>
      </c>
      <c r="M214" s="17">
        <f t="shared" si="25"/>
        <v>0</v>
      </c>
    </row>
    <row r="215" spans="1:16">
      <c r="A215" s="33"/>
      <c r="B215" s="34"/>
      <c r="C215" s="35"/>
      <c r="D215" s="36"/>
      <c r="E215" s="26"/>
      <c r="F215" s="27"/>
      <c r="G215" s="19"/>
      <c r="H215" s="17">
        <f t="shared" si="23"/>
        <v>0</v>
      </c>
      <c r="I215" s="19"/>
      <c r="J215" s="23">
        <f t="shared" si="22"/>
        <v>0</v>
      </c>
      <c r="K215" s="19"/>
      <c r="L215" s="17">
        <f t="shared" si="24"/>
        <v>0</v>
      </c>
      <c r="M215" s="17">
        <f t="shared" si="25"/>
        <v>0</v>
      </c>
    </row>
    <row r="216" spans="1:16">
      <c r="A216" s="33"/>
      <c r="B216" s="34"/>
      <c r="C216" s="35"/>
      <c r="D216" s="36"/>
      <c r="E216" s="25"/>
      <c r="F216" s="12"/>
      <c r="G216" s="23"/>
      <c r="H216" s="17">
        <f t="shared" si="23"/>
        <v>0</v>
      </c>
      <c r="I216" s="23"/>
      <c r="J216" s="23">
        <f t="shared" si="22"/>
        <v>0</v>
      </c>
      <c r="K216" s="23"/>
      <c r="L216" s="17">
        <f t="shared" si="24"/>
        <v>0</v>
      </c>
      <c r="M216" s="17">
        <f t="shared" si="25"/>
        <v>0</v>
      </c>
    </row>
    <row r="217" spans="1:16">
      <c r="A217" s="33"/>
      <c r="B217" s="34"/>
      <c r="C217" s="35"/>
      <c r="D217" s="36"/>
      <c r="E217" s="25"/>
      <c r="F217" s="12"/>
      <c r="G217" s="23"/>
      <c r="H217" s="17">
        <f t="shared" si="23"/>
        <v>0</v>
      </c>
      <c r="I217" s="23"/>
      <c r="J217" s="23">
        <f t="shared" si="22"/>
        <v>0</v>
      </c>
      <c r="K217" s="23"/>
      <c r="L217" s="17">
        <f t="shared" si="24"/>
        <v>0</v>
      </c>
      <c r="M217" s="17">
        <f t="shared" si="25"/>
        <v>0</v>
      </c>
    </row>
    <row r="218" spans="1:16">
      <c r="A218" s="33"/>
      <c r="B218" s="34"/>
      <c r="C218" s="35"/>
      <c r="D218" s="36"/>
      <c r="E218" s="26"/>
      <c r="F218" s="27"/>
      <c r="G218" s="19"/>
      <c r="H218" s="17">
        <f t="shared" si="23"/>
        <v>0</v>
      </c>
      <c r="I218" s="19"/>
      <c r="J218" s="23">
        <f t="shared" si="22"/>
        <v>0</v>
      </c>
      <c r="K218" s="19"/>
      <c r="L218" s="17">
        <f t="shared" si="24"/>
        <v>0</v>
      </c>
      <c r="M218" s="17">
        <f t="shared" si="25"/>
        <v>0</v>
      </c>
    </row>
    <row r="219" spans="1:16">
      <c r="A219" s="33"/>
      <c r="B219" s="34"/>
      <c r="C219" s="35"/>
      <c r="D219" s="36"/>
      <c r="E219" s="25"/>
      <c r="F219" s="12"/>
      <c r="G219" s="23"/>
      <c r="H219" s="17">
        <f t="shared" si="23"/>
        <v>0</v>
      </c>
      <c r="I219" s="23"/>
      <c r="J219" s="23">
        <f t="shared" si="22"/>
        <v>0</v>
      </c>
      <c r="K219" s="23"/>
      <c r="L219" s="17">
        <f t="shared" si="24"/>
        <v>0</v>
      </c>
      <c r="M219" s="17">
        <f t="shared" si="25"/>
        <v>0</v>
      </c>
    </row>
    <row r="220" spans="1:16">
      <c r="A220" s="33"/>
      <c r="B220" s="34"/>
      <c r="C220" s="35"/>
      <c r="D220" s="36"/>
      <c r="E220" s="25"/>
      <c r="F220" s="12"/>
      <c r="G220" s="23"/>
      <c r="H220" s="17">
        <f t="shared" si="23"/>
        <v>0</v>
      </c>
      <c r="I220" s="23"/>
      <c r="J220" s="23">
        <f t="shared" si="22"/>
        <v>0</v>
      </c>
      <c r="K220" s="23"/>
      <c r="L220" s="17">
        <f t="shared" si="24"/>
        <v>0</v>
      </c>
      <c r="M220" s="17">
        <f t="shared" si="25"/>
        <v>0</v>
      </c>
    </row>
    <row r="221" spans="1:16">
      <c r="A221" s="33"/>
      <c r="B221" s="34"/>
      <c r="C221" s="35"/>
      <c r="D221" s="36"/>
      <c r="E221" s="25"/>
      <c r="F221" s="12"/>
      <c r="G221" s="23"/>
      <c r="H221" s="17">
        <f t="shared" si="23"/>
        <v>0</v>
      </c>
      <c r="I221" s="23"/>
      <c r="J221" s="23">
        <f t="shared" si="22"/>
        <v>0</v>
      </c>
      <c r="K221" s="23"/>
      <c r="L221" s="17">
        <f t="shared" si="24"/>
        <v>0</v>
      </c>
      <c r="M221" s="17">
        <f t="shared" si="25"/>
        <v>0</v>
      </c>
    </row>
    <row r="222" spans="1:16">
      <c r="A222" s="33"/>
      <c r="B222" s="34"/>
      <c r="C222" s="35"/>
      <c r="D222" s="36"/>
      <c r="E222" s="25"/>
      <c r="F222" s="12"/>
      <c r="G222" s="23"/>
      <c r="H222" s="17">
        <f t="shared" si="23"/>
        <v>0</v>
      </c>
      <c r="I222" s="23"/>
      <c r="J222" s="23">
        <f t="shared" si="22"/>
        <v>0</v>
      </c>
      <c r="K222" s="23"/>
      <c r="L222" s="17">
        <f t="shared" si="24"/>
        <v>0</v>
      </c>
      <c r="M222" s="17">
        <f t="shared" si="25"/>
        <v>0</v>
      </c>
    </row>
    <row r="223" spans="1:16">
      <c r="A223" s="33"/>
      <c r="B223" s="34"/>
      <c r="C223" s="35"/>
      <c r="D223" s="36"/>
      <c r="E223" s="25"/>
      <c r="F223" s="12"/>
      <c r="G223" s="23"/>
      <c r="H223" s="17">
        <f t="shared" si="23"/>
        <v>0</v>
      </c>
      <c r="I223" s="23"/>
      <c r="J223" s="23">
        <f t="shared" si="22"/>
        <v>0</v>
      </c>
      <c r="K223" s="23"/>
      <c r="L223" s="17">
        <f t="shared" si="24"/>
        <v>0</v>
      </c>
      <c r="M223" s="17">
        <f t="shared" si="25"/>
        <v>0</v>
      </c>
    </row>
    <row r="224" spans="1:16">
      <c r="A224" s="33"/>
      <c r="B224" s="34"/>
      <c r="C224" s="35"/>
      <c r="D224" s="36"/>
      <c r="E224" s="25"/>
      <c r="F224" s="12"/>
      <c r="G224" s="23"/>
      <c r="H224" s="17">
        <f t="shared" si="23"/>
        <v>0</v>
      </c>
      <c r="I224" s="23"/>
      <c r="J224" s="23">
        <f t="shared" si="22"/>
        <v>0</v>
      </c>
      <c r="K224" s="23"/>
      <c r="L224" s="17">
        <f t="shared" si="24"/>
        <v>0</v>
      </c>
      <c r="M224" s="17">
        <f t="shared" si="25"/>
        <v>0</v>
      </c>
    </row>
    <row r="225" spans="1:13">
      <c r="A225" s="33"/>
      <c r="B225" s="34"/>
      <c r="C225" s="35"/>
      <c r="D225" s="36"/>
      <c r="E225" s="25"/>
      <c r="F225" s="12"/>
      <c r="G225" s="23"/>
      <c r="H225" s="17">
        <f t="shared" si="23"/>
        <v>0</v>
      </c>
      <c r="I225" s="23"/>
      <c r="J225" s="23">
        <f t="shared" si="22"/>
        <v>0</v>
      </c>
      <c r="K225" s="23"/>
      <c r="L225" s="17">
        <f t="shared" si="24"/>
        <v>0</v>
      </c>
      <c r="M225" s="17">
        <f t="shared" si="25"/>
        <v>0</v>
      </c>
    </row>
    <row r="226" spans="1:13">
      <c r="A226" s="33"/>
      <c r="B226" s="34"/>
      <c r="C226" s="35"/>
      <c r="D226" s="36"/>
      <c r="E226" s="25"/>
      <c r="F226" s="12"/>
      <c r="G226" s="23"/>
      <c r="H226" s="17">
        <f t="shared" si="23"/>
        <v>0</v>
      </c>
      <c r="I226" s="23"/>
      <c r="J226" s="23">
        <f t="shared" si="22"/>
        <v>0</v>
      </c>
      <c r="K226" s="23"/>
      <c r="L226" s="17">
        <f t="shared" si="24"/>
        <v>0</v>
      </c>
      <c r="M226" s="17">
        <f t="shared" si="25"/>
        <v>0</v>
      </c>
    </row>
    <row r="227" spans="1:13">
      <c r="A227" s="33"/>
      <c r="B227" s="34"/>
      <c r="C227" s="35"/>
      <c r="D227" s="36"/>
      <c r="E227" s="25"/>
      <c r="F227" s="12"/>
      <c r="G227" s="23"/>
      <c r="H227" s="17">
        <f t="shared" si="23"/>
        <v>0</v>
      </c>
      <c r="I227" s="23"/>
      <c r="J227" s="23">
        <f t="shared" si="22"/>
        <v>0</v>
      </c>
      <c r="K227" s="23"/>
      <c r="L227" s="17">
        <f t="shared" si="24"/>
        <v>0</v>
      </c>
      <c r="M227" s="17">
        <f t="shared" si="25"/>
        <v>0</v>
      </c>
    </row>
    <row r="228" spans="1:13">
      <c r="A228" s="33"/>
      <c r="B228" s="34"/>
      <c r="C228" s="35"/>
      <c r="D228" s="36"/>
      <c r="E228" s="25"/>
      <c r="F228" s="12"/>
      <c r="G228" s="23"/>
      <c r="H228" s="17">
        <f t="shared" si="23"/>
        <v>0</v>
      </c>
      <c r="I228" s="23"/>
      <c r="J228" s="23">
        <f t="shared" si="22"/>
        <v>0</v>
      </c>
      <c r="K228" s="23"/>
      <c r="L228" s="17">
        <f t="shared" si="24"/>
        <v>0</v>
      </c>
      <c r="M228" s="17">
        <f t="shared" si="25"/>
        <v>0</v>
      </c>
    </row>
    <row r="229" spans="1:13" ht="18" thickBot="1">
      <c r="A229" s="37"/>
      <c r="B229" s="38"/>
      <c r="C229" s="39"/>
      <c r="D229" s="40"/>
      <c r="E229" s="29"/>
      <c r="F229" s="13"/>
      <c r="G229" s="24"/>
      <c r="H229" s="17">
        <f t="shared" si="23"/>
        <v>0</v>
      </c>
      <c r="I229" s="24"/>
      <c r="J229" s="23">
        <f t="shared" si="22"/>
        <v>0</v>
      </c>
      <c r="K229" s="24"/>
      <c r="L229" s="17">
        <f t="shared" si="24"/>
        <v>0</v>
      </c>
      <c r="M229" s="17">
        <f t="shared" si="25"/>
        <v>0</v>
      </c>
    </row>
    <row r="230" spans="1:13" ht="19" thickTop="1" thickBot="1">
      <c r="A230" s="41" t="s">
        <v>28</v>
      </c>
      <c r="B230" s="42"/>
      <c r="C230" s="41"/>
      <c r="D230" s="42"/>
      <c r="E230" s="15"/>
      <c r="F230" s="15"/>
      <c r="G230" s="22"/>
      <c r="H230" s="22">
        <f>SUM(H207:H229)</f>
        <v>0</v>
      </c>
      <c r="I230" s="22"/>
      <c r="J230" s="22">
        <f>SUM(J207:J229)</f>
        <v>0</v>
      </c>
      <c r="K230" s="22"/>
      <c r="L230" s="22">
        <f>SUM(L207:L229)</f>
        <v>0</v>
      </c>
      <c r="M230" s="22">
        <f>SUM(M207:M229)</f>
        <v>0</v>
      </c>
    </row>
    <row r="233" spans="1:13" ht="18" thickBot="1">
      <c r="A233" t="s">
        <v>21</v>
      </c>
    </row>
    <row r="234" spans="1:13" ht="18" thickBot="1">
      <c r="A234" s="43" t="s">
        <v>24</v>
      </c>
      <c r="B234" s="44"/>
      <c r="C234" s="43" t="s">
        <v>13</v>
      </c>
      <c r="D234" s="44"/>
      <c r="E234" s="47" t="s">
        <v>14</v>
      </c>
      <c r="F234" s="47" t="s">
        <v>15</v>
      </c>
      <c r="G234" s="49" t="s">
        <v>26</v>
      </c>
      <c r="H234" s="50"/>
      <c r="I234" s="49" t="s">
        <v>27</v>
      </c>
      <c r="J234" s="50"/>
      <c r="K234" s="49" t="s">
        <v>25</v>
      </c>
      <c r="L234" s="50"/>
      <c r="M234" s="47" t="s">
        <v>20</v>
      </c>
    </row>
    <row r="235" spans="1:13" ht="18" thickBot="1">
      <c r="A235" s="45"/>
      <c r="B235" s="46"/>
      <c r="C235" s="45"/>
      <c r="D235" s="46"/>
      <c r="E235" s="48"/>
      <c r="F235" s="48"/>
      <c r="G235" s="21" t="s">
        <v>22</v>
      </c>
      <c r="H235" s="21" t="s">
        <v>23</v>
      </c>
      <c r="I235" s="21" t="s">
        <v>22</v>
      </c>
      <c r="J235" s="21" t="s">
        <v>23</v>
      </c>
      <c r="K235" s="21" t="s">
        <v>22</v>
      </c>
      <c r="L235" s="21" t="s">
        <v>23</v>
      </c>
      <c r="M235" s="48"/>
    </row>
    <row r="236" spans="1:13">
      <c r="A236" s="51"/>
      <c r="B236" s="52"/>
      <c r="C236" s="53"/>
      <c r="D236" s="54"/>
      <c r="E236" s="20"/>
      <c r="F236" s="16"/>
      <c r="G236" s="23"/>
      <c r="H236" s="17">
        <f>F236*G236</f>
        <v>0</v>
      </c>
      <c r="I236" s="23"/>
      <c r="J236" s="23">
        <f t="shared" ref="J236:J258" si="26">F236*I236</f>
        <v>0</v>
      </c>
      <c r="K236" s="23"/>
      <c r="L236" s="17">
        <f>F236*K236</f>
        <v>0</v>
      </c>
      <c r="M236" s="17">
        <f>H236+J236+L236</f>
        <v>0</v>
      </c>
    </row>
    <row r="237" spans="1:13">
      <c r="A237" s="33"/>
      <c r="B237" s="34"/>
      <c r="C237" s="35"/>
      <c r="D237" s="36"/>
      <c r="E237" s="25"/>
      <c r="F237" s="12"/>
      <c r="G237" s="23"/>
      <c r="H237" s="17">
        <f t="shared" ref="H237:H258" si="27">F237*G237</f>
        <v>0</v>
      </c>
      <c r="I237" s="23"/>
      <c r="J237" s="23">
        <f t="shared" si="26"/>
        <v>0</v>
      </c>
      <c r="K237" s="23"/>
      <c r="L237" s="17">
        <f t="shared" ref="L237:L258" si="28">F237*K237</f>
        <v>0</v>
      </c>
      <c r="M237" s="17">
        <f t="shared" ref="M237:M258" si="29">H237+J237+L237</f>
        <v>0</v>
      </c>
    </row>
    <row r="238" spans="1:13">
      <c r="A238" s="33"/>
      <c r="B238" s="34"/>
      <c r="C238" s="35"/>
      <c r="D238" s="36"/>
      <c r="E238" s="25"/>
      <c r="F238" s="12"/>
      <c r="G238" s="23"/>
      <c r="H238" s="17">
        <f t="shared" si="27"/>
        <v>0</v>
      </c>
      <c r="I238" s="23"/>
      <c r="J238" s="23">
        <f t="shared" si="26"/>
        <v>0</v>
      </c>
      <c r="K238" s="23"/>
      <c r="L238" s="17">
        <f t="shared" si="28"/>
        <v>0</v>
      </c>
      <c r="M238" s="17">
        <f t="shared" si="29"/>
        <v>0</v>
      </c>
    </row>
    <row r="239" spans="1:13">
      <c r="A239" s="33"/>
      <c r="B239" s="34"/>
      <c r="C239" s="35"/>
      <c r="D239" s="36"/>
      <c r="E239" s="25"/>
      <c r="F239" s="12"/>
      <c r="G239" s="23"/>
      <c r="H239" s="17">
        <f t="shared" si="27"/>
        <v>0</v>
      </c>
      <c r="I239" s="23"/>
      <c r="J239" s="23">
        <f t="shared" si="26"/>
        <v>0</v>
      </c>
      <c r="K239" s="23"/>
      <c r="L239" s="17">
        <f t="shared" si="28"/>
        <v>0</v>
      </c>
      <c r="M239" s="17">
        <f t="shared" si="29"/>
        <v>0</v>
      </c>
    </row>
    <row r="240" spans="1:13">
      <c r="A240" s="33"/>
      <c r="B240" s="34"/>
      <c r="C240" s="35"/>
      <c r="D240" s="36"/>
      <c r="E240" s="26"/>
      <c r="F240" s="27"/>
      <c r="G240" s="19"/>
      <c r="H240" s="17">
        <f t="shared" si="27"/>
        <v>0</v>
      </c>
      <c r="I240" s="19"/>
      <c r="J240" s="23">
        <f t="shared" si="26"/>
        <v>0</v>
      </c>
      <c r="K240" s="19"/>
      <c r="L240" s="17">
        <f t="shared" si="28"/>
        <v>0</v>
      </c>
      <c r="M240" s="17">
        <f t="shared" si="29"/>
        <v>0</v>
      </c>
    </row>
    <row r="241" spans="1:16">
      <c r="A241" s="33"/>
      <c r="B241" s="34"/>
      <c r="C241" s="35"/>
      <c r="D241" s="36"/>
      <c r="E241" s="25"/>
      <c r="F241" s="12"/>
      <c r="G241" s="23"/>
      <c r="H241" s="17">
        <f t="shared" si="27"/>
        <v>0</v>
      </c>
      <c r="I241" s="23"/>
      <c r="J241" s="23">
        <f t="shared" si="26"/>
        <v>0</v>
      </c>
      <c r="K241" s="23"/>
      <c r="L241" s="17">
        <f t="shared" si="28"/>
        <v>0</v>
      </c>
      <c r="M241" s="17">
        <f t="shared" si="29"/>
        <v>0</v>
      </c>
      <c r="P241" t="s">
        <v>29</v>
      </c>
    </row>
    <row r="242" spans="1:16">
      <c r="A242" s="33"/>
      <c r="B242" s="34"/>
      <c r="C242" s="35"/>
      <c r="D242" s="36"/>
      <c r="E242" s="25"/>
      <c r="F242" s="12"/>
      <c r="G242" s="23"/>
      <c r="H242" s="17">
        <f t="shared" si="27"/>
        <v>0</v>
      </c>
      <c r="I242" s="23"/>
      <c r="J242" s="23">
        <f t="shared" si="26"/>
        <v>0</v>
      </c>
      <c r="K242" s="23"/>
      <c r="L242" s="17">
        <f t="shared" si="28"/>
        <v>0</v>
      </c>
      <c r="M242" s="17">
        <f t="shared" si="29"/>
        <v>0</v>
      </c>
    </row>
    <row r="243" spans="1:16">
      <c r="A243" s="33"/>
      <c r="B243" s="34"/>
      <c r="C243" s="35"/>
      <c r="D243" s="36"/>
      <c r="E243" s="25"/>
      <c r="F243" s="12"/>
      <c r="G243" s="23"/>
      <c r="H243" s="17">
        <f t="shared" si="27"/>
        <v>0</v>
      </c>
      <c r="I243" s="23"/>
      <c r="J243" s="23">
        <f t="shared" si="26"/>
        <v>0</v>
      </c>
      <c r="K243" s="23"/>
      <c r="L243" s="17">
        <f t="shared" si="28"/>
        <v>0</v>
      </c>
      <c r="M243" s="17">
        <f t="shared" si="29"/>
        <v>0</v>
      </c>
    </row>
    <row r="244" spans="1:16">
      <c r="A244" s="33"/>
      <c r="B244" s="34"/>
      <c r="C244" s="35"/>
      <c r="D244" s="36"/>
      <c r="E244" s="26"/>
      <c r="F244" s="27"/>
      <c r="G244" s="19"/>
      <c r="H244" s="17">
        <f t="shared" si="27"/>
        <v>0</v>
      </c>
      <c r="I244" s="19"/>
      <c r="J244" s="23">
        <f t="shared" si="26"/>
        <v>0</v>
      </c>
      <c r="K244" s="19"/>
      <c r="L244" s="17">
        <f t="shared" si="28"/>
        <v>0</v>
      </c>
      <c r="M244" s="17">
        <f t="shared" si="29"/>
        <v>0</v>
      </c>
    </row>
    <row r="245" spans="1:16">
      <c r="A245" s="33"/>
      <c r="B245" s="34"/>
      <c r="C245" s="35"/>
      <c r="D245" s="36"/>
      <c r="E245" s="25"/>
      <c r="F245" s="12"/>
      <c r="G245" s="23"/>
      <c r="H245" s="17">
        <f t="shared" si="27"/>
        <v>0</v>
      </c>
      <c r="I245" s="23"/>
      <c r="J245" s="23">
        <f t="shared" si="26"/>
        <v>0</v>
      </c>
      <c r="K245" s="23"/>
      <c r="L245" s="17">
        <f t="shared" si="28"/>
        <v>0</v>
      </c>
      <c r="M245" s="17">
        <f t="shared" si="29"/>
        <v>0</v>
      </c>
    </row>
    <row r="246" spans="1:16">
      <c r="A246" s="33"/>
      <c r="B246" s="34"/>
      <c r="C246" s="35"/>
      <c r="D246" s="36"/>
      <c r="E246" s="25"/>
      <c r="F246" s="12"/>
      <c r="G246" s="23"/>
      <c r="H246" s="17">
        <f t="shared" si="27"/>
        <v>0</v>
      </c>
      <c r="I246" s="23"/>
      <c r="J246" s="23">
        <f t="shared" si="26"/>
        <v>0</v>
      </c>
      <c r="K246" s="23"/>
      <c r="L246" s="17">
        <f t="shared" si="28"/>
        <v>0</v>
      </c>
      <c r="M246" s="17">
        <f t="shared" si="29"/>
        <v>0</v>
      </c>
    </row>
    <row r="247" spans="1:16">
      <c r="A247" s="33"/>
      <c r="B247" s="34"/>
      <c r="C247" s="35"/>
      <c r="D247" s="36"/>
      <c r="E247" s="26"/>
      <c r="F247" s="27"/>
      <c r="G247" s="19"/>
      <c r="H247" s="17">
        <f t="shared" si="27"/>
        <v>0</v>
      </c>
      <c r="I247" s="19"/>
      <c r="J247" s="23">
        <f t="shared" si="26"/>
        <v>0</v>
      </c>
      <c r="K247" s="19"/>
      <c r="L247" s="17">
        <f t="shared" si="28"/>
        <v>0</v>
      </c>
      <c r="M247" s="17">
        <f t="shared" si="29"/>
        <v>0</v>
      </c>
    </row>
    <row r="248" spans="1:16">
      <c r="A248" s="33"/>
      <c r="B248" s="34"/>
      <c r="C248" s="35"/>
      <c r="D248" s="36"/>
      <c r="E248" s="25"/>
      <c r="F248" s="12"/>
      <c r="G248" s="23"/>
      <c r="H248" s="17">
        <f t="shared" si="27"/>
        <v>0</v>
      </c>
      <c r="I248" s="23"/>
      <c r="J248" s="23">
        <f t="shared" si="26"/>
        <v>0</v>
      </c>
      <c r="K248" s="23"/>
      <c r="L248" s="17">
        <f t="shared" si="28"/>
        <v>0</v>
      </c>
      <c r="M248" s="17">
        <f t="shared" si="29"/>
        <v>0</v>
      </c>
    </row>
    <row r="249" spans="1:16">
      <c r="A249" s="33"/>
      <c r="B249" s="34"/>
      <c r="C249" s="35"/>
      <c r="D249" s="36"/>
      <c r="E249" s="25"/>
      <c r="F249" s="12"/>
      <c r="G249" s="23"/>
      <c r="H249" s="17">
        <f t="shared" si="27"/>
        <v>0</v>
      </c>
      <c r="I249" s="23"/>
      <c r="J249" s="23">
        <f t="shared" si="26"/>
        <v>0</v>
      </c>
      <c r="K249" s="23"/>
      <c r="L249" s="17">
        <f t="shared" si="28"/>
        <v>0</v>
      </c>
      <c r="M249" s="17">
        <f t="shared" si="29"/>
        <v>0</v>
      </c>
    </row>
    <row r="250" spans="1:16">
      <c r="A250" s="33"/>
      <c r="B250" s="34"/>
      <c r="C250" s="35"/>
      <c r="D250" s="36"/>
      <c r="E250" s="25"/>
      <c r="F250" s="12"/>
      <c r="G250" s="23"/>
      <c r="H250" s="17">
        <f t="shared" si="27"/>
        <v>0</v>
      </c>
      <c r="I250" s="23"/>
      <c r="J250" s="23">
        <f t="shared" si="26"/>
        <v>0</v>
      </c>
      <c r="K250" s="23"/>
      <c r="L250" s="17">
        <f t="shared" si="28"/>
        <v>0</v>
      </c>
      <c r="M250" s="17">
        <f t="shared" si="29"/>
        <v>0</v>
      </c>
    </row>
    <row r="251" spans="1:16">
      <c r="A251" s="33"/>
      <c r="B251" s="34"/>
      <c r="C251" s="35"/>
      <c r="D251" s="36"/>
      <c r="E251" s="25"/>
      <c r="F251" s="12"/>
      <c r="G251" s="23"/>
      <c r="H251" s="17">
        <f t="shared" si="27"/>
        <v>0</v>
      </c>
      <c r="I251" s="23"/>
      <c r="J251" s="23">
        <f t="shared" si="26"/>
        <v>0</v>
      </c>
      <c r="K251" s="23"/>
      <c r="L251" s="17">
        <f t="shared" si="28"/>
        <v>0</v>
      </c>
      <c r="M251" s="17">
        <f t="shared" si="29"/>
        <v>0</v>
      </c>
    </row>
    <row r="252" spans="1:16">
      <c r="A252" s="33"/>
      <c r="B252" s="34"/>
      <c r="C252" s="35"/>
      <c r="D252" s="36"/>
      <c r="E252" s="25"/>
      <c r="F252" s="12"/>
      <c r="G252" s="23"/>
      <c r="H252" s="17">
        <f t="shared" si="27"/>
        <v>0</v>
      </c>
      <c r="I252" s="23"/>
      <c r="J252" s="23">
        <f t="shared" si="26"/>
        <v>0</v>
      </c>
      <c r="K252" s="23"/>
      <c r="L252" s="17">
        <f t="shared" si="28"/>
        <v>0</v>
      </c>
      <c r="M252" s="17">
        <f t="shared" si="29"/>
        <v>0</v>
      </c>
    </row>
    <row r="253" spans="1:16">
      <c r="A253" s="33"/>
      <c r="B253" s="34"/>
      <c r="C253" s="35"/>
      <c r="D253" s="36"/>
      <c r="E253" s="25"/>
      <c r="F253" s="12"/>
      <c r="G253" s="23"/>
      <c r="H253" s="17">
        <f t="shared" si="27"/>
        <v>0</v>
      </c>
      <c r="I253" s="23"/>
      <c r="J253" s="23">
        <f t="shared" si="26"/>
        <v>0</v>
      </c>
      <c r="K253" s="23"/>
      <c r="L253" s="17">
        <f t="shared" si="28"/>
        <v>0</v>
      </c>
      <c r="M253" s="17">
        <f t="shared" si="29"/>
        <v>0</v>
      </c>
    </row>
    <row r="254" spans="1:16">
      <c r="A254" s="33"/>
      <c r="B254" s="34"/>
      <c r="C254" s="35"/>
      <c r="D254" s="36"/>
      <c r="E254" s="25"/>
      <c r="F254" s="12"/>
      <c r="G254" s="23"/>
      <c r="H254" s="17">
        <f t="shared" si="27"/>
        <v>0</v>
      </c>
      <c r="I254" s="23"/>
      <c r="J254" s="23">
        <f t="shared" si="26"/>
        <v>0</v>
      </c>
      <c r="K254" s="23"/>
      <c r="L254" s="17">
        <f t="shared" si="28"/>
        <v>0</v>
      </c>
      <c r="M254" s="17">
        <f t="shared" si="29"/>
        <v>0</v>
      </c>
    </row>
    <row r="255" spans="1:16">
      <c r="A255" s="33"/>
      <c r="B255" s="34"/>
      <c r="C255" s="35"/>
      <c r="D255" s="36"/>
      <c r="E255" s="25"/>
      <c r="F255" s="12"/>
      <c r="G255" s="23"/>
      <c r="H255" s="17">
        <f t="shared" si="27"/>
        <v>0</v>
      </c>
      <c r="I255" s="23"/>
      <c r="J255" s="23">
        <f t="shared" si="26"/>
        <v>0</v>
      </c>
      <c r="K255" s="23"/>
      <c r="L255" s="17">
        <f t="shared" si="28"/>
        <v>0</v>
      </c>
      <c r="M255" s="17">
        <f t="shared" si="29"/>
        <v>0</v>
      </c>
    </row>
    <row r="256" spans="1:16">
      <c r="A256" s="33"/>
      <c r="B256" s="34"/>
      <c r="C256" s="35"/>
      <c r="D256" s="36"/>
      <c r="E256" s="25"/>
      <c r="F256" s="12"/>
      <c r="G256" s="23"/>
      <c r="H256" s="17">
        <f t="shared" si="27"/>
        <v>0</v>
      </c>
      <c r="I256" s="23"/>
      <c r="J256" s="23">
        <f t="shared" si="26"/>
        <v>0</v>
      </c>
      <c r="K256" s="23"/>
      <c r="L256" s="17">
        <f t="shared" si="28"/>
        <v>0</v>
      </c>
      <c r="M256" s="17">
        <f t="shared" si="29"/>
        <v>0</v>
      </c>
    </row>
    <row r="257" spans="1:16">
      <c r="A257" s="33"/>
      <c r="B257" s="34"/>
      <c r="C257" s="35"/>
      <c r="D257" s="36"/>
      <c r="E257" s="25"/>
      <c r="F257" s="12"/>
      <c r="G257" s="23"/>
      <c r="H257" s="17">
        <f t="shared" si="27"/>
        <v>0</v>
      </c>
      <c r="I257" s="23"/>
      <c r="J257" s="23">
        <f t="shared" si="26"/>
        <v>0</v>
      </c>
      <c r="K257" s="23"/>
      <c r="L257" s="17">
        <f t="shared" si="28"/>
        <v>0</v>
      </c>
      <c r="M257" s="17">
        <f t="shared" si="29"/>
        <v>0</v>
      </c>
    </row>
    <row r="258" spans="1:16" ht="18" thickBot="1">
      <c r="A258" s="37"/>
      <c r="B258" s="38"/>
      <c r="C258" s="39"/>
      <c r="D258" s="40"/>
      <c r="E258" s="29"/>
      <c r="F258" s="13"/>
      <c r="G258" s="24"/>
      <c r="H258" s="17">
        <f t="shared" si="27"/>
        <v>0</v>
      </c>
      <c r="I258" s="24"/>
      <c r="J258" s="23">
        <f t="shared" si="26"/>
        <v>0</v>
      </c>
      <c r="K258" s="24"/>
      <c r="L258" s="17">
        <f t="shared" si="28"/>
        <v>0</v>
      </c>
      <c r="M258" s="17">
        <f t="shared" si="29"/>
        <v>0</v>
      </c>
    </row>
    <row r="259" spans="1:16" ht="19" thickTop="1" thickBot="1">
      <c r="A259" s="41" t="s">
        <v>28</v>
      </c>
      <c r="B259" s="42"/>
      <c r="C259" s="41"/>
      <c r="D259" s="42"/>
      <c r="E259" s="15"/>
      <c r="F259" s="15"/>
      <c r="G259" s="22"/>
      <c r="H259" s="22">
        <f>SUM(H236:H258)</f>
        <v>0</v>
      </c>
      <c r="I259" s="22"/>
      <c r="J259" s="22">
        <f>SUM(J236:J258)</f>
        <v>0</v>
      </c>
      <c r="K259" s="22"/>
      <c r="L259" s="22">
        <f>SUM(L236:L258)</f>
        <v>0</v>
      </c>
      <c r="M259" s="22">
        <f>SUM(M236:M258)</f>
        <v>0</v>
      </c>
    </row>
    <row r="262" spans="1:16" ht="18" thickBot="1">
      <c r="A262" t="s">
        <v>21</v>
      </c>
    </row>
    <row r="263" spans="1:16" ht="18" thickBot="1">
      <c r="A263" s="43" t="s">
        <v>24</v>
      </c>
      <c r="B263" s="44"/>
      <c r="C263" s="43" t="s">
        <v>13</v>
      </c>
      <c r="D263" s="44"/>
      <c r="E263" s="47" t="s">
        <v>14</v>
      </c>
      <c r="F263" s="47" t="s">
        <v>15</v>
      </c>
      <c r="G263" s="49" t="s">
        <v>26</v>
      </c>
      <c r="H263" s="50"/>
      <c r="I263" s="49" t="s">
        <v>27</v>
      </c>
      <c r="J263" s="50"/>
      <c r="K263" s="49" t="s">
        <v>25</v>
      </c>
      <c r="L263" s="50"/>
      <c r="M263" s="47" t="s">
        <v>20</v>
      </c>
    </row>
    <row r="264" spans="1:16" ht="18" thickBot="1">
      <c r="A264" s="45"/>
      <c r="B264" s="46"/>
      <c r="C264" s="45"/>
      <c r="D264" s="46"/>
      <c r="E264" s="48"/>
      <c r="F264" s="48"/>
      <c r="G264" s="21" t="s">
        <v>22</v>
      </c>
      <c r="H264" s="21" t="s">
        <v>23</v>
      </c>
      <c r="I264" s="21" t="s">
        <v>22</v>
      </c>
      <c r="J264" s="21" t="s">
        <v>23</v>
      </c>
      <c r="K264" s="21" t="s">
        <v>22</v>
      </c>
      <c r="L264" s="21" t="s">
        <v>23</v>
      </c>
      <c r="M264" s="48"/>
    </row>
    <row r="265" spans="1:16">
      <c r="A265" s="51"/>
      <c r="B265" s="52"/>
      <c r="C265" s="53"/>
      <c r="D265" s="54"/>
      <c r="E265" s="20"/>
      <c r="F265" s="16"/>
      <c r="G265" s="23"/>
      <c r="H265" s="17">
        <f>F265*G265</f>
        <v>0</v>
      </c>
      <c r="I265" s="23"/>
      <c r="J265" s="23">
        <f t="shared" ref="J265:J287" si="30">F265*I265</f>
        <v>0</v>
      </c>
      <c r="K265" s="23"/>
      <c r="L265" s="17">
        <f>F265*K265</f>
        <v>0</v>
      </c>
      <c r="M265" s="17">
        <f>H265+J265+L265</f>
        <v>0</v>
      </c>
    </row>
    <row r="266" spans="1:16">
      <c r="A266" s="33"/>
      <c r="B266" s="34"/>
      <c r="C266" s="35"/>
      <c r="D266" s="36"/>
      <c r="E266" s="25"/>
      <c r="F266" s="12"/>
      <c r="G266" s="23"/>
      <c r="H266" s="17">
        <f t="shared" ref="H266:H287" si="31">F266*G266</f>
        <v>0</v>
      </c>
      <c r="I266" s="23"/>
      <c r="J266" s="23">
        <f t="shared" si="30"/>
        <v>0</v>
      </c>
      <c r="K266" s="23"/>
      <c r="L266" s="17">
        <f t="shared" ref="L266:L287" si="32">F266*K266</f>
        <v>0</v>
      </c>
      <c r="M266" s="17">
        <f t="shared" ref="M266:M287" si="33">H266+J266+L266</f>
        <v>0</v>
      </c>
    </row>
    <row r="267" spans="1:16">
      <c r="A267" s="33"/>
      <c r="B267" s="34"/>
      <c r="C267" s="35"/>
      <c r="D267" s="36"/>
      <c r="E267" s="25"/>
      <c r="F267" s="12"/>
      <c r="G267" s="23"/>
      <c r="H267" s="17">
        <f t="shared" si="31"/>
        <v>0</v>
      </c>
      <c r="I267" s="23"/>
      <c r="J267" s="23">
        <f t="shared" si="30"/>
        <v>0</v>
      </c>
      <c r="K267" s="23"/>
      <c r="L267" s="17">
        <f t="shared" si="32"/>
        <v>0</v>
      </c>
      <c r="M267" s="17">
        <f t="shared" si="33"/>
        <v>0</v>
      </c>
    </row>
    <row r="268" spans="1:16">
      <c r="A268" s="33"/>
      <c r="B268" s="34"/>
      <c r="C268" s="35"/>
      <c r="D268" s="36"/>
      <c r="E268" s="25"/>
      <c r="F268" s="12"/>
      <c r="G268" s="23"/>
      <c r="H268" s="17">
        <f t="shared" si="31"/>
        <v>0</v>
      </c>
      <c r="I268" s="23"/>
      <c r="J268" s="23">
        <f t="shared" si="30"/>
        <v>0</v>
      </c>
      <c r="K268" s="23"/>
      <c r="L268" s="17">
        <f t="shared" si="32"/>
        <v>0</v>
      </c>
      <c r="M268" s="17">
        <f t="shared" si="33"/>
        <v>0</v>
      </c>
    </row>
    <row r="269" spans="1:16">
      <c r="A269" s="33"/>
      <c r="B269" s="34"/>
      <c r="C269" s="35"/>
      <c r="D269" s="36"/>
      <c r="E269" s="26"/>
      <c r="F269" s="27"/>
      <c r="G269" s="19"/>
      <c r="H269" s="17">
        <f t="shared" si="31"/>
        <v>0</v>
      </c>
      <c r="I269" s="19"/>
      <c r="J269" s="23">
        <f t="shared" si="30"/>
        <v>0</v>
      </c>
      <c r="K269" s="19"/>
      <c r="L269" s="17">
        <f t="shared" si="32"/>
        <v>0</v>
      </c>
      <c r="M269" s="17">
        <f t="shared" si="33"/>
        <v>0</v>
      </c>
    </row>
    <row r="270" spans="1:16">
      <c r="A270" s="33"/>
      <c r="B270" s="34"/>
      <c r="C270" s="35"/>
      <c r="D270" s="36"/>
      <c r="E270" s="25"/>
      <c r="F270" s="12"/>
      <c r="G270" s="23"/>
      <c r="H270" s="17">
        <f t="shared" si="31"/>
        <v>0</v>
      </c>
      <c r="I270" s="23"/>
      <c r="J270" s="23">
        <f t="shared" si="30"/>
        <v>0</v>
      </c>
      <c r="K270" s="23"/>
      <c r="L270" s="17">
        <f t="shared" si="32"/>
        <v>0</v>
      </c>
      <c r="M270" s="17">
        <f t="shared" si="33"/>
        <v>0</v>
      </c>
      <c r="P270" t="s">
        <v>29</v>
      </c>
    </row>
    <row r="271" spans="1:16">
      <c r="A271" s="33"/>
      <c r="B271" s="34"/>
      <c r="C271" s="35"/>
      <c r="D271" s="36"/>
      <c r="E271" s="25"/>
      <c r="F271" s="12"/>
      <c r="G271" s="23"/>
      <c r="H271" s="17">
        <f t="shared" si="31"/>
        <v>0</v>
      </c>
      <c r="I271" s="23"/>
      <c r="J271" s="23">
        <f t="shared" si="30"/>
        <v>0</v>
      </c>
      <c r="K271" s="23"/>
      <c r="L271" s="17">
        <f t="shared" si="32"/>
        <v>0</v>
      </c>
      <c r="M271" s="17">
        <f t="shared" si="33"/>
        <v>0</v>
      </c>
    </row>
    <row r="272" spans="1:16">
      <c r="A272" s="33"/>
      <c r="B272" s="34"/>
      <c r="C272" s="35"/>
      <c r="D272" s="36"/>
      <c r="E272" s="25"/>
      <c r="F272" s="12"/>
      <c r="G272" s="23"/>
      <c r="H272" s="17">
        <f t="shared" si="31"/>
        <v>0</v>
      </c>
      <c r="I272" s="23"/>
      <c r="J272" s="23">
        <f t="shared" si="30"/>
        <v>0</v>
      </c>
      <c r="K272" s="23"/>
      <c r="L272" s="17">
        <f t="shared" si="32"/>
        <v>0</v>
      </c>
      <c r="M272" s="17">
        <f t="shared" si="33"/>
        <v>0</v>
      </c>
    </row>
    <row r="273" spans="1:13">
      <c r="A273" s="33"/>
      <c r="B273" s="34"/>
      <c r="C273" s="35"/>
      <c r="D273" s="36"/>
      <c r="E273" s="26"/>
      <c r="F273" s="27"/>
      <c r="G273" s="19"/>
      <c r="H273" s="17">
        <f t="shared" si="31"/>
        <v>0</v>
      </c>
      <c r="I273" s="19"/>
      <c r="J273" s="23">
        <f t="shared" si="30"/>
        <v>0</v>
      </c>
      <c r="K273" s="19"/>
      <c r="L273" s="17">
        <f t="shared" si="32"/>
        <v>0</v>
      </c>
      <c r="M273" s="17">
        <f t="shared" si="33"/>
        <v>0</v>
      </c>
    </row>
    <row r="274" spans="1:13">
      <c r="A274" s="33"/>
      <c r="B274" s="34"/>
      <c r="C274" s="35"/>
      <c r="D274" s="36"/>
      <c r="E274" s="25"/>
      <c r="F274" s="12"/>
      <c r="G274" s="23"/>
      <c r="H274" s="17">
        <f t="shared" si="31"/>
        <v>0</v>
      </c>
      <c r="I274" s="23"/>
      <c r="J274" s="23">
        <f t="shared" si="30"/>
        <v>0</v>
      </c>
      <c r="K274" s="23"/>
      <c r="L274" s="17">
        <f t="shared" si="32"/>
        <v>0</v>
      </c>
      <c r="M274" s="17">
        <f t="shared" si="33"/>
        <v>0</v>
      </c>
    </row>
    <row r="275" spans="1:13">
      <c r="A275" s="33"/>
      <c r="B275" s="34"/>
      <c r="C275" s="35"/>
      <c r="D275" s="36"/>
      <c r="E275" s="25"/>
      <c r="F275" s="12"/>
      <c r="G275" s="23"/>
      <c r="H275" s="17">
        <f t="shared" si="31"/>
        <v>0</v>
      </c>
      <c r="I275" s="23"/>
      <c r="J275" s="23">
        <f t="shared" si="30"/>
        <v>0</v>
      </c>
      <c r="K275" s="23"/>
      <c r="L275" s="17">
        <f t="shared" si="32"/>
        <v>0</v>
      </c>
      <c r="M275" s="17">
        <f t="shared" si="33"/>
        <v>0</v>
      </c>
    </row>
    <row r="276" spans="1:13">
      <c r="A276" s="33"/>
      <c r="B276" s="34"/>
      <c r="C276" s="35"/>
      <c r="D276" s="36"/>
      <c r="E276" s="26"/>
      <c r="F276" s="27"/>
      <c r="G276" s="19"/>
      <c r="H276" s="17">
        <f t="shared" si="31"/>
        <v>0</v>
      </c>
      <c r="I276" s="19"/>
      <c r="J276" s="23">
        <f t="shared" si="30"/>
        <v>0</v>
      </c>
      <c r="K276" s="19"/>
      <c r="L276" s="17">
        <f t="shared" si="32"/>
        <v>0</v>
      </c>
      <c r="M276" s="17">
        <f t="shared" si="33"/>
        <v>0</v>
      </c>
    </row>
    <row r="277" spans="1:13">
      <c r="A277" s="33"/>
      <c r="B277" s="34"/>
      <c r="C277" s="35"/>
      <c r="D277" s="36"/>
      <c r="E277" s="25"/>
      <c r="F277" s="12"/>
      <c r="G277" s="23"/>
      <c r="H277" s="17">
        <f t="shared" si="31"/>
        <v>0</v>
      </c>
      <c r="I277" s="23"/>
      <c r="J277" s="23">
        <f t="shared" si="30"/>
        <v>0</v>
      </c>
      <c r="K277" s="23"/>
      <c r="L277" s="17">
        <f t="shared" si="32"/>
        <v>0</v>
      </c>
      <c r="M277" s="17">
        <f t="shared" si="33"/>
        <v>0</v>
      </c>
    </row>
    <row r="278" spans="1:13">
      <c r="A278" s="33"/>
      <c r="B278" s="34"/>
      <c r="C278" s="35"/>
      <c r="D278" s="36"/>
      <c r="E278" s="25"/>
      <c r="F278" s="12"/>
      <c r="G278" s="23"/>
      <c r="H278" s="17">
        <f t="shared" si="31"/>
        <v>0</v>
      </c>
      <c r="I278" s="23"/>
      <c r="J278" s="23">
        <f t="shared" si="30"/>
        <v>0</v>
      </c>
      <c r="K278" s="23"/>
      <c r="L278" s="17">
        <f t="shared" si="32"/>
        <v>0</v>
      </c>
      <c r="M278" s="17">
        <f t="shared" si="33"/>
        <v>0</v>
      </c>
    </row>
    <row r="279" spans="1:13">
      <c r="A279" s="33"/>
      <c r="B279" s="34"/>
      <c r="C279" s="35"/>
      <c r="D279" s="36"/>
      <c r="E279" s="25"/>
      <c r="F279" s="12"/>
      <c r="G279" s="23"/>
      <c r="H279" s="17">
        <f t="shared" si="31"/>
        <v>0</v>
      </c>
      <c r="I279" s="23"/>
      <c r="J279" s="23">
        <f t="shared" si="30"/>
        <v>0</v>
      </c>
      <c r="K279" s="23"/>
      <c r="L279" s="17">
        <f t="shared" si="32"/>
        <v>0</v>
      </c>
      <c r="M279" s="17">
        <f t="shared" si="33"/>
        <v>0</v>
      </c>
    </row>
    <row r="280" spans="1:13">
      <c r="A280" s="33"/>
      <c r="B280" s="34"/>
      <c r="C280" s="35"/>
      <c r="D280" s="36"/>
      <c r="E280" s="25"/>
      <c r="F280" s="12"/>
      <c r="G280" s="23"/>
      <c r="H280" s="17">
        <f t="shared" si="31"/>
        <v>0</v>
      </c>
      <c r="I280" s="23"/>
      <c r="J280" s="23">
        <f t="shared" si="30"/>
        <v>0</v>
      </c>
      <c r="K280" s="23"/>
      <c r="L280" s="17">
        <f t="shared" si="32"/>
        <v>0</v>
      </c>
      <c r="M280" s="17">
        <f t="shared" si="33"/>
        <v>0</v>
      </c>
    </row>
    <row r="281" spans="1:13">
      <c r="A281" s="33"/>
      <c r="B281" s="34"/>
      <c r="C281" s="35"/>
      <c r="D281" s="36"/>
      <c r="E281" s="25"/>
      <c r="F281" s="12"/>
      <c r="G281" s="23"/>
      <c r="H281" s="17">
        <f t="shared" si="31"/>
        <v>0</v>
      </c>
      <c r="I281" s="23"/>
      <c r="J281" s="23">
        <f t="shared" si="30"/>
        <v>0</v>
      </c>
      <c r="K281" s="23"/>
      <c r="L281" s="17">
        <f t="shared" si="32"/>
        <v>0</v>
      </c>
      <c r="M281" s="17">
        <f t="shared" si="33"/>
        <v>0</v>
      </c>
    </row>
    <row r="282" spans="1:13">
      <c r="A282" s="33"/>
      <c r="B282" s="34"/>
      <c r="C282" s="35"/>
      <c r="D282" s="36"/>
      <c r="E282" s="25"/>
      <c r="F282" s="12"/>
      <c r="G282" s="23"/>
      <c r="H282" s="17">
        <f t="shared" si="31"/>
        <v>0</v>
      </c>
      <c r="I282" s="23"/>
      <c r="J282" s="23">
        <f t="shared" si="30"/>
        <v>0</v>
      </c>
      <c r="K282" s="23"/>
      <c r="L282" s="17">
        <f t="shared" si="32"/>
        <v>0</v>
      </c>
      <c r="M282" s="17">
        <f t="shared" si="33"/>
        <v>0</v>
      </c>
    </row>
    <row r="283" spans="1:13">
      <c r="A283" s="33"/>
      <c r="B283" s="34"/>
      <c r="C283" s="35"/>
      <c r="D283" s="36"/>
      <c r="E283" s="25"/>
      <c r="F283" s="12"/>
      <c r="G283" s="23"/>
      <c r="H283" s="17">
        <f t="shared" si="31"/>
        <v>0</v>
      </c>
      <c r="I283" s="23"/>
      <c r="J283" s="23">
        <f t="shared" si="30"/>
        <v>0</v>
      </c>
      <c r="K283" s="23"/>
      <c r="L283" s="17">
        <f t="shared" si="32"/>
        <v>0</v>
      </c>
      <c r="M283" s="17">
        <f t="shared" si="33"/>
        <v>0</v>
      </c>
    </row>
    <row r="284" spans="1:13">
      <c r="A284" s="33"/>
      <c r="B284" s="34"/>
      <c r="C284" s="35"/>
      <c r="D284" s="36"/>
      <c r="E284" s="25"/>
      <c r="F284" s="12"/>
      <c r="G284" s="23"/>
      <c r="H284" s="17">
        <f t="shared" si="31"/>
        <v>0</v>
      </c>
      <c r="I284" s="23"/>
      <c r="J284" s="23">
        <f t="shared" si="30"/>
        <v>0</v>
      </c>
      <c r="K284" s="23"/>
      <c r="L284" s="17">
        <f t="shared" si="32"/>
        <v>0</v>
      </c>
      <c r="M284" s="17">
        <f t="shared" si="33"/>
        <v>0</v>
      </c>
    </row>
    <row r="285" spans="1:13">
      <c r="A285" s="33"/>
      <c r="B285" s="34"/>
      <c r="C285" s="35"/>
      <c r="D285" s="36"/>
      <c r="E285" s="25"/>
      <c r="F285" s="12"/>
      <c r="G285" s="23"/>
      <c r="H285" s="17">
        <f t="shared" si="31"/>
        <v>0</v>
      </c>
      <c r="I285" s="23"/>
      <c r="J285" s="23">
        <f t="shared" si="30"/>
        <v>0</v>
      </c>
      <c r="K285" s="23"/>
      <c r="L285" s="17">
        <f t="shared" si="32"/>
        <v>0</v>
      </c>
      <c r="M285" s="17">
        <f t="shared" si="33"/>
        <v>0</v>
      </c>
    </row>
    <row r="286" spans="1:13">
      <c r="A286" s="33"/>
      <c r="B286" s="34"/>
      <c r="C286" s="35"/>
      <c r="D286" s="36"/>
      <c r="E286" s="25"/>
      <c r="F286" s="12"/>
      <c r="G286" s="23"/>
      <c r="H286" s="17">
        <f t="shared" si="31"/>
        <v>0</v>
      </c>
      <c r="I286" s="23"/>
      <c r="J286" s="23">
        <f t="shared" si="30"/>
        <v>0</v>
      </c>
      <c r="K286" s="23"/>
      <c r="L286" s="17">
        <f t="shared" si="32"/>
        <v>0</v>
      </c>
      <c r="M286" s="17">
        <f t="shared" si="33"/>
        <v>0</v>
      </c>
    </row>
    <row r="287" spans="1:13" ht="18" thickBot="1">
      <c r="A287" s="37"/>
      <c r="B287" s="38"/>
      <c r="C287" s="39"/>
      <c r="D287" s="40"/>
      <c r="E287" s="29"/>
      <c r="F287" s="13"/>
      <c r="G287" s="24"/>
      <c r="H287" s="17">
        <f t="shared" si="31"/>
        <v>0</v>
      </c>
      <c r="I287" s="24"/>
      <c r="J287" s="23">
        <f t="shared" si="30"/>
        <v>0</v>
      </c>
      <c r="K287" s="24"/>
      <c r="L287" s="17">
        <f t="shared" si="32"/>
        <v>0</v>
      </c>
      <c r="M287" s="17">
        <f t="shared" si="33"/>
        <v>0</v>
      </c>
    </row>
    <row r="288" spans="1:13" ht="19" thickTop="1" thickBot="1">
      <c r="A288" s="41" t="s">
        <v>28</v>
      </c>
      <c r="B288" s="42"/>
      <c r="C288" s="41"/>
      <c r="D288" s="42"/>
      <c r="E288" s="15"/>
      <c r="F288" s="15"/>
      <c r="G288" s="22"/>
      <c r="H288" s="22">
        <f>SUM(H265:H287)</f>
        <v>0</v>
      </c>
      <c r="I288" s="22"/>
      <c r="J288" s="22">
        <f>SUM(J265:J287)</f>
        <v>0</v>
      </c>
      <c r="K288" s="22"/>
      <c r="L288" s="22">
        <f>SUM(L265:L287)</f>
        <v>0</v>
      </c>
      <c r="M288" s="22">
        <f>SUM(M265:M287)</f>
        <v>0</v>
      </c>
    </row>
    <row r="291" spans="1:16" ht="18" thickBot="1">
      <c r="A291" t="s">
        <v>21</v>
      </c>
    </row>
    <row r="292" spans="1:16" ht="18" thickBot="1">
      <c r="A292" s="43" t="s">
        <v>24</v>
      </c>
      <c r="B292" s="44"/>
      <c r="C292" s="43" t="s">
        <v>13</v>
      </c>
      <c r="D292" s="44"/>
      <c r="E292" s="47" t="s">
        <v>14</v>
      </c>
      <c r="F292" s="47" t="s">
        <v>15</v>
      </c>
      <c r="G292" s="49" t="s">
        <v>26</v>
      </c>
      <c r="H292" s="50"/>
      <c r="I292" s="49" t="s">
        <v>27</v>
      </c>
      <c r="J292" s="50"/>
      <c r="K292" s="49" t="s">
        <v>25</v>
      </c>
      <c r="L292" s="50"/>
      <c r="M292" s="47" t="s">
        <v>20</v>
      </c>
    </row>
    <row r="293" spans="1:16" ht="18" thickBot="1">
      <c r="A293" s="45"/>
      <c r="B293" s="46"/>
      <c r="C293" s="45"/>
      <c r="D293" s="46"/>
      <c r="E293" s="48"/>
      <c r="F293" s="48"/>
      <c r="G293" s="21" t="s">
        <v>22</v>
      </c>
      <c r="H293" s="21" t="s">
        <v>23</v>
      </c>
      <c r="I293" s="21" t="s">
        <v>22</v>
      </c>
      <c r="J293" s="21" t="s">
        <v>23</v>
      </c>
      <c r="K293" s="21" t="s">
        <v>22</v>
      </c>
      <c r="L293" s="21" t="s">
        <v>23</v>
      </c>
      <c r="M293" s="48"/>
    </row>
    <row r="294" spans="1:16">
      <c r="A294" s="51"/>
      <c r="B294" s="52"/>
      <c r="C294" s="53"/>
      <c r="D294" s="54"/>
      <c r="E294" s="20"/>
      <c r="F294" s="16"/>
      <c r="G294" s="23"/>
      <c r="H294" s="17">
        <f>F294*G294</f>
        <v>0</v>
      </c>
      <c r="I294" s="23"/>
      <c r="J294" s="23">
        <f t="shared" ref="J294:J316" si="34">F294*I294</f>
        <v>0</v>
      </c>
      <c r="K294" s="23"/>
      <c r="L294" s="17">
        <f>F294*K294</f>
        <v>0</v>
      </c>
      <c r="M294" s="17">
        <f>H294+J294+L294</f>
        <v>0</v>
      </c>
    </row>
    <row r="295" spans="1:16">
      <c r="A295" s="33"/>
      <c r="B295" s="34"/>
      <c r="C295" s="35"/>
      <c r="D295" s="36"/>
      <c r="E295" s="25"/>
      <c r="F295" s="12"/>
      <c r="G295" s="23"/>
      <c r="H295" s="17">
        <f t="shared" ref="H295:H316" si="35">F295*G295</f>
        <v>0</v>
      </c>
      <c r="I295" s="23"/>
      <c r="J295" s="23">
        <f t="shared" si="34"/>
        <v>0</v>
      </c>
      <c r="K295" s="23"/>
      <c r="L295" s="17">
        <f t="shared" ref="L295:L316" si="36">F295*K295</f>
        <v>0</v>
      </c>
      <c r="M295" s="17">
        <f t="shared" ref="M295:M316" si="37">H295+J295+L295</f>
        <v>0</v>
      </c>
    </row>
    <row r="296" spans="1:16">
      <c r="A296" s="33"/>
      <c r="B296" s="34"/>
      <c r="C296" s="35"/>
      <c r="D296" s="36"/>
      <c r="E296" s="25"/>
      <c r="F296" s="12"/>
      <c r="G296" s="23"/>
      <c r="H296" s="17">
        <f t="shared" si="35"/>
        <v>0</v>
      </c>
      <c r="I296" s="23"/>
      <c r="J296" s="23">
        <f t="shared" si="34"/>
        <v>0</v>
      </c>
      <c r="K296" s="23"/>
      <c r="L296" s="17">
        <f t="shared" si="36"/>
        <v>0</v>
      </c>
      <c r="M296" s="17">
        <f t="shared" si="37"/>
        <v>0</v>
      </c>
    </row>
    <row r="297" spans="1:16">
      <c r="A297" s="33"/>
      <c r="B297" s="34"/>
      <c r="C297" s="35"/>
      <c r="D297" s="36"/>
      <c r="E297" s="25"/>
      <c r="F297" s="12"/>
      <c r="G297" s="23"/>
      <c r="H297" s="17">
        <f t="shared" si="35"/>
        <v>0</v>
      </c>
      <c r="I297" s="23"/>
      <c r="J297" s="23">
        <f t="shared" si="34"/>
        <v>0</v>
      </c>
      <c r="K297" s="23"/>
      <c r="L297" s="17">
        <f t="shared" si="36"/>
        <v>0</v>
      </c>
      <c r="M297" s="17">
        <f t="shared" si="37"/>
        <v>0</v>
      </c>
    </row>
    <row r="298" spans="1:16">
      <c r="A298" s="33"/>
      <c r="B298" s="34"/>
      <c r="C298" s="35"/>
      <c r="D298" s="36"/>
      <c r="E298" s="26"/>
      <c r="F298" s="27"/>
      <c r="G298" s="19"/>
      <c r="H298" s="17">
        <f t="shared" si="35"/>
        <v>0</v>
      </c>
      <c r="I298" s="19"/>
      <c r="J298" s="23">
        <f t="shared" si="34"/>
        <v>0</v>
      </c>
      <c r="K298" s="19"/>
      <c r="L298" s="17">
        <f t="shared" si="36"/>
        <v>0</v>
      </c>
      <c r="M298" s="17">
        <f t="shared" si="37"/>
        <v>0</v>
      </c>
    </row>
    <row r="299" spans="1:16">
      <c r="A299" s="33"/>
      <c r="B299" s="34"/>
      <c r="C299" s="35"/>
      <c r="D299" s="36"/>
      <c r="E299" s="25"/>
      <c r="F299" s="12"/>
      <c r="G299" s="23"/>
      <c r="H299" s="17">
        <f t="shared" si="35"/>
        <v>0</v>
      </c>
      <c r="I299" s="23"/>
      <c r="J299" s="23">
        <f t="shared" si="34"/>
        <v>0</v>
      </c>
      <c r="K299" s="23"/>
      <c r="L299" s="17">
        <f t="shared" si="36"/>
        <v>0</v>
      </c>
      <c r="M299" s="17">
        <f t="shared" si="37"/>
        <v>0</v>
      </c>
      <c r="P299" t="s">
        <v>29</v>
      </c>
    </row>
    <row r="300" spans="1:16">
      <c r="A300" s="33"/>
      <c r="B300" s="34"/>
      <c r="C300" s="35"/>
      <c r="D300" s="36"/>
      <c r="E300" s="25"/>
      <c r="F300" s="12"/>
      <c r="G300" s="23"/>
      <c r="H300" s="17">
        <f t="shared" si="35"/>
        <v>0</v>
      </c>
      <c r="I300" s="23"/>
      <c r="J300" s="23">
        <f t="shared" si="34"/>
        <v>0</v>
      </c>
      <c r="K300" s="23"/>
      <c r="L300" s="17">
        <f t="shared" si="36"/>
        <v>0</v>
      </c>
      <c r="M300" s="17">
        <f t="shared" si="37"/>
        <v>0</v>
      </c>
    </row>
    <row r="301" spans="1:16">
      <c r="A301" s="33"/>
      <c r="B301" s="34"/>
      <c r="C301" s="35"/>
      <c r="D301" s="36"/>
      <c r="E301" s="25"/>
      <c r="F301" s="12"/>
      <c r="G301" s="23"/>
      <c r="H301" s="17">
        <f t="shared" si="35"/>
        <v>0</v>
      </c>
      <c r="I301" s="23"/>
      <c r="J301" s="23">
        <f t="shared" si="34"/>
        <v>0</v>
      </c>
      <c r="K301" s="23"/>
      <c r="L301" s="17">
        <f t="shared" si="36"/>
        <v>0</v>
      </c>
      <c r="M301" s="17">
        <f t="shared" si="37"/>
        <v>0</v>
      </c>
    </row>
    <row r="302" spans="1:16">
      <c r="A302" s="33"/>
      <c r="B302" s="34"/>
      <c r="C302" s="35"/>
      <c r="D302" s="36"/>
      <c r="E302" s="26"/>
      <c r="F302" s="27"/>
      <c r="G302" s="19"/>
      <c r="H302" s="17">
        <f t="shared" si="35"/>
        <v>0</v>
      </c>
      <c r="I302" s="19"/>
      <c r="J302" s="23">
        <f t="shared" si="34"/>
        <v>0</v>
      </c>
      <c r="K302" s="19"/>
      <c r="L302" s="17">
        <f t="shared" si="36"/>
        <v>0</v>
      </c>
      <c r="M302" s="17">
        <f t="shared" si="37"/>
        <v>0</v>
      </c>
    </row>
    <row r="303" spans="1:16">
      <c r="A303" s="33"/>
      <c r="B303" s="34"/>
      <c r="C303" s="35"/>
      <c r="D303" s="36"/>
      <c r="E303" s="25"/>
      <c r="F303" s="12"/>
      <c r="G303" s="23"/>
      <c r="H303" s="17">
        <f t="shared" si="35"/>
        <v>0</v>
      </c>
      <c r="I303" s="23"/>
      <c r="J303" s="23">
        <f t="shared" si="34"/>
        <v>0</v>
      </c>
      <c r="K303" s="23"/>
      <c r="L303" s="17">
        <f t="shared" si="36"/>
        <v>0</v>
      </c>
      <c r="M303" s="17">
        <f t="shared" si="37"/>
        <v>0</v>
      </c>
    </row>
    <row r="304" spans="1:16">
      <c r="A304" s="33"/>
      <c r="B304" s="34"/>
      <c r="C304" s="35"/>
      <c r="D304" s="36"/>
      <c r="E304" s="25"/>
      <c r="F304" s="12"/>
      <c r="G304" s="23"/>
      <c r="H304" s="17">
        <f t="shared" si="35"/>
        <v>0</v>
      </c>
      <c r="I304" s="23"/>
      <c r="J304" s="23">
        <f t="shared" si="34"/>
        <v>0</v>
      </c>
      <c r="K304" s="23"/>
      <c r="L304" s="17">
        <f t="shared" si="36"/>
        <v>0</v>
      </c>
      <c r="M304" s="17">
        <f t="shared" si="37"/>
        <v>0</v>
      </c>
    </row>
    <row r="305" spans="1:13">
      <c r="A305" s="33"/>
      <c r="B305" s="34"/>
      <c r="C305" s="35"/>
      <c r="D305" s="36"/>
      <c r="E305" s="26"/>
      <c r="F305" s="27"/>
      <c r="G305" s="19"/>
      <c r="H305" s="17">
        <f t="shared" si="35"/>
        <v>0</v>
      </c>
      <c r="I305" s="19"/>
      <c r="J305" s="23">
        <f t="shared" si="34"/>
        <v>0</v>
      </c>
      <c r="K305" s="19"/>
      <c r="L305" s="17">
        <f t="shared" si="36"/>
        <v>0</v>
      </c>
      <c r="M305" s="17">
        <f t="shared" si="37"/>
        <v>0</v>
      </c>
    </row>
    <row r="306" spans="1:13">
      <c r="A306" s="33"/>
      <c r="B306" s="34"/>
      <c r="C306" s="35"/>
      <c r="D306" s="36"/>
      <c r="E306" s="25"/>
      <c r="F306" s="12"/>
      <c r="G306" s="23"/>
      <c r="H306" s="17">
        <f t="shared" si="35"/>
        <v>0</v>
      </c>
      <c r="I306" s="23"/>
      <c r="J306" s="23">
        <f t="shared" si="34"/>
        <v>0</v>
      </c>
      <c r="K306" s="23"/>
      <c r="L306" s="17">
        <f t="shared" si="36"/>
        <v>0</v>
      </c>
      <c r="M306" s="17">
        <f t="shared" si="37"/>
        <v>0</v>
      </c>
    </row>
    <row r="307" spans="1:13">
      <c r="A307" s="33"/>
      <c r="B307" s="34"/>
      <c r="C307" s="35"/>
      <c r="D307" s="36"/>
      <c r="E307" s="25"/>
      <c r="F307" s="12"/>
      <c r="G307" s="23"/>
      <c r="H307" s="17">
        <f t="shared" si="35"/>
        <v>0</v>
      </c>
      <c r="I307" s="23"/>
      <c r="J307" s="23">
        <f t="shared" si="34"/>
        <v>0</v>
      </c>
      <c r="K307" s="23"/>
      <c r="L307" s="17">
        <f t="shared" si="36"/>
        <v>0</v>
      </c>
      <c r="M307" s="17">
        <f t="shared" si="37"/>
        <v>0</v>
      </c>
    </row>
    <row r="308" spans="1:13">
      <c r="A308" s="33"/>
      <c r="B308" s="34"/>
      <c r="C308" s="35"/>
      <c r="D308" s="36"/>
      <c r="E308" s="25"/>
      <c r="F308" s="12"/>
      <c r="G308" s="23"/>
      <c r="H308" s="17">
        <f t="shared" si="35"/>
        <v>0</v>
      </c>
      <c r="I308" s="23"/>
      <c r="J308" s="23">
        <f t="shared" si="34"/>
        <v>0</v>
      </c>
      <c r="K308" s="23"/>
      <c r="L308" s="17">
        <f t="shared" si="36"/>
        <v>0</v>
      </c>
      <c r="M308" s="17">
        <f t="shared" si="37"/>
        <v>0</v>
      </c>
    </row>
    <row r="309" spans="1:13">
      <c r="A309" s="33"/>
      <c r="B309" s="34"/>
      <c r="C309" s="35"/>
      <c r="D309" s="36"/>
      <c r="E309" s="25"/>
      <c r="F309" s="12"/>
      <c r="G309" s="23"/>
      <c r="H309" s="17">
        <f t="shared" si="35"/>
        <v>0</v>
      </c>
      <c r="I309" s="23"/>
      <c r="J309" s="23">
        <f t="shared" si="34"/>
        <v>0</v>
      </c>
      <c r="K309" s="23"/>
      <c r="L309" s="17">
        <f t="shared" si="36"/>
        <v>0</v>
      </c>
      <c r="M309" s="17">
        <f t="shared" si="37"/>
        <v>0</v>
      </c>
    </row>
    <row r="310" spans="1:13">
      <c r="A310" s="33"/>
      <c r="B310" s="34"/>
      <c r="C310" s="35"/>
      <c r="D310" s="36"/>
      <c r="E310" s="25"/>
      <c r="F310" s="12"/>
      <c r="G310" s="23"/>
      <c r="H310" s="17">
        <f t="shared" si="35"/>
        <v>0</v>
      </c>
      <c r="I310" s="23"/>
      <c r="J310" s="23">
        <f t="shared" si="34"/>
        <v>0</v>
      </c>
      <c r="K310" s="23"/>
      <c r="L310" s="17">
        <f t="shared" si="36"/>
        <v>0</v>
      </c>
      <c r="M310" s="17">
        <f t="shared" si="37"/>
        <v>0</v>
      </c>
    </row>
    <row r="311" spans="1:13">
      <c r="A311" s="33"/>
      <c r="B311" s="34"/>
      <c r="C311" s="35"/>
      <c r="D311" s="36"/>
      <c r="E311" s="25"/>
      <c r="F311" s="12"/>
      <c r="G311" s="23"/>
      <c r="H311" s="17">
        <f t="shared" si="35"/>
        <v>0</v>
      </c>
      <c r="I311" s="23"/>
      <c r="J311" s="23">
        <f t="shared" si="34"/>
        <v>0</v>
      </c>
      <c r="K311" s="23"/>
      <c r="L311" s="17">
        <f t="shared" si="36"/>
        <v>0</v>
      </c>
      <c r="M311" s="17">
        <f t="shared" si="37"/>
        <v>0</v>
      </c>
    </row>
    <row r="312" spans="1:13">
      <c r="A312" s="33"/>
      <c r="B312" s="34"/>
      <c r="C312" s="35"/>
      <c r="D312" s="36"/>
      <c r="E312" s="25"/>
      <c r="F312" s="12"/>
      <c r="G312" s="23"/>
      <c r="H312" s="17">
        <f t="shared" si="35"/>
        <v>0</v>
      </c>
      <c r="I312" s="23"/>
      <c r="J312" s="23">
        <f t="shared" si="34"/>
        <v>0</v>
      </c>
      <c r="K312" s="23"/>
      <c r="L312" s="17">
        <f t="shared" si="36"/>
        <v>0</v>
      </c>
      <c r="M312" s="17">
        <f t="shared" si="37"/>
        <v>0</v>
      </c>
    </row>
    <row r="313" spans="1:13">
      <c r="A313" s="33"/>
      <c r="B313" s="34"/>
      <c r="C313" s="35"/>
      <c r="D313" s="36"/>
      <c r="E313" s="25"/>
      <c r="F313" s="12"/>
      <c r="G313" s="23"/>
      <c r="H313" s="17">
        <f t="shared" si="35"/>
        <v>0</v>
      </c>
      <c r="I313" s="23"/>
      <c r="J313" s="23">
        <f t="shared" si="34"/>
        <v>0</v>
      </c>
      <c r="K313" s="23"/>
      <c r="L313" s="17">
        <f t="shared" si="36"/>
        <v>0</v>
      </c>
      <c r="M313" s="17">
        <f t="shared" si="37"/>
        <v>0</v>
      </c>
    </row>
    <row r="314" spans="1:13">
      <c r="A314" s="33"/>
      <c r="B314" s="34"/>
      <c r="C314" s="35"/>
      <c r="D314" s="36"/>
      <c r="E314" s="25"/>
      <c r="F314" s="12"/>
      <c r="G314" s="23"/>
      <c r="H314" s="17">
        <f t="shared" si="35"/>
        <v>0</v>
      </c>
      <c r="I314" s="23"/>
      <c r="J314" s="23">
        <f t="shared" si="34"/>
        <v>0</v>
      </c>
      <c r="K314" s="23"/>
      <c r="L314" s="17">
        <f t="shared" si="36"/>
        <v>0</v>
      </c>
      <c r="M314" s="17">
        <f t="shared" si="37"/>
        <v>0</v>
      </c>
    </row>
    <row r="315" spans="1:13">
      <c r="A315" s="33"/>
      <c r="B315" s="34"/>
      <c r="C315" s="35"/>
      <c r="D315" s="36"/>
      <c r="E315" s="25"/>
      <c r="F315" s="12"/>
      <c r="G315" s="23"/>
      <c r="H315" s="17">
        <f t="shared" si="35"/>
        <v>0</v>
      </c>
      <c r="I315" s="23"/>
      <c r="J315" s="23">
        <f t="shared" si="34"/>
        <v>0</v>
      </c>
      <c r="K315" s="23"/>
      <c r="L315" s="17">
        <f t="shared" si="36"/>
        <v>0</v>
      </c>
      <c r="M315" s="17">
        <f t="shared" si="37"/>
        <v>0</v>
      </c>
    </row>
    <row r="316" spans="1:13" ht="18" thickBot="1">
      <c r="A316" s="37"/>
      <c r="B316" s="38"/>
      <c r="C316" s="39"/>
      <c r="D316" s="40"/>
      <c r="E316" s="29"/>
      <c r="F316" s="13"/>
      <c r="G316" s="24"/>
      <c r="H316" s="17">
        <f t="shared" si="35"/>
        <v>0</v>
      </c>
      <c r="I316" s="24"/>
      <c r="J316" s="23">
        <f t="shared" si="34"/>
        <v>0</v>
      </c>
      <c r="K316" s="24"/>
      <c r="L316" s="17">
        <f t="shared" si="36"/>
        <v>0</v>
      </c>
      <c r="M316" s="17">
        <f t="shared" si="37"/>
        <v>0</v>
      </c>
    </row>
    <row r="317" spans="1:13" ht="19" thickTop="1" thickBot="1">
      <c r="A317" s="41" t="s">
        <v>28</v>
      </c>
      <c r="B317" s="42"/>
      <c r="C317" s="41"/>
      <c r="D317" s="42"/>
      <c r="E317" s="15"/>
      <c r="F317" s="15"/>
      <c r="G317" s="22"/>
      <c r="H317" s="22">
        <f>SUM(H294:H316)</f>
        <v>0</v>
      </c>
      <c r="I317" s="22"/>
      <c r="J317" s="22">
        <f>SUM(J294:J316)</f>
        <v>0</v>
      </c>
      <c r="K317" s="22"/>
      <c r="L317" s="22">
        <f>SUM(L294:L316)</f>
        <v>0</v>
      </c>
      <c r="M317" s="22">
        <f>SUM(M294:M316)</f>
        <v>0</v>
      </c>
    </row>
    <row r="320" spans="1:13" ht="18" thickBot="1">
      <c r="A320" t="s">
        <v>21</v>
      </c>
    </row>
    <row r="321" spans="1:16" ht="18" thickBot="1">
      <c r="A321" s="43" t="s">
        <v>24</v>
      </c>
      <c r="B321" s="44"/>
      <c r="C321" s="43" t="s">
        <v>13</v>
      </c>
      <c r="D321" s="44"/>
      <c r="E321" s="47" t="s">
        <v>14</v>
      </c>
      <c r="F321" s="47" t="s">
        <v>15</v>
      </c>
      <c r="G321" s="49" t="s">
        <v>26</v>
      </c>
      <c r="H321" s="50"/>
      <c r="I321" s="49" t="s">
        <v>27</v>
      </c>
      <c r="J321" s="50"/>
      <c r="K321" s="49" t="s">
        <v>25</v>
      </c>
      <c r="L321" s="50"/>
      <c r="M321" s="47" t="s">
        <v>20</v>
      </c>
    </row>
    <row r="322" spans="1:16" ht="18" thickBot="1">
      <c r="A322" s="45"/>
      <c r="B322" s="46"/>
      <c r="C322" s="45"/>
      <c r="D322" s="46"/>
      <c r="E322" s="48"/>
      <c r="F322" s="48"/>
      <c r="G322" s="21" t="s">
        <v>22</v>
      </c>
      <c r="H322" s="21" t="s">
        <v>23</v>
      </c>
      <c r="I322" s="21" t="s">
        <v>22</v>
      </c>
      <c r="J322" s="21" t="s">
        <v>23</v>
      </c>
      <c r="K322" s="21" t="s">
        <v>22</v>
      </c>
      <c r="L322" s="21" t="s">
        <v>23</v>
      </c>
      <c r="M322" s="48"/>
    </row>
    <row r="323" spans="1:16">
      <c r="A323" s="51"/>
      <c r="B323" s="52"/>
      <c r="C323" s="53"/>
      <c r="D323" s="54"/>
      <c r="E323" s="20"/>
      <c r="F323" s="16"/>
      <c r="G323" s="23"/>
      <c r="H323" s="17">
        <f>F323*G323</f>
        <v>0</v>
      </c>
      <c r="I323" s="23"/>
      <c r="J323" s="23">
        <f t="shared" ref="J323:J345" si="38">F323*I323</f>
        <v>0</v>
      </c>
      <c r="K323" s="23"/>
      <c r="L323" s="17">
        <f>F323*K323</f>
        <v>0</v>
      </c>
      <c r="M323" s="17">
        <f>H323+J323+L323</f>
        <v>0</v>
      </c>
    </row>
    <row r="324" spans="1:16">
      <c r="A324" s="33"/>
      <c r="B324" s="34"/>
      <c r="C324" s="35"/>
      <c r="D324" s="36"/>
      <c r="E324" s="25"/>
      <c r="F324" s="12"/>
      <c r="G324" s="23"/>
      <c r="H324" s="17">
        <f t="shared" ref="H324:H345" si="39">F324*G324</f>
        <v>0</v>
      </c>
      <c r="I324" s="23"/>
      <c r="J324" s="23">
        <f t="shared" si="38"/>
        <v>0</v>
      </c>
      <c r="K324" s="23"/>
      <c r="L324" s="17">
        <f t="shared" ref="L324:L345" si="40">F324*K324</f>
        <v>0</v>
      </c>
      <c r="M324" s="17">
        <f t="shared" ref="M324:M345" si="41">H324+J324+L324</f>
        <v>0</v>
      </c>
    </row>
    <row r="325" spans="1:16">
      <c r="A325" s="33"/>
      <c r="B325" s="34"/>
      <c r="C325" s="35"/>
      <c r="D325" s="36"/>
      <c r="E325" s="25"/>
      <c r="F325" s="12"/>
      <c r="G325" s="23"/>
      <c r="H325" s="17">
        <f t="shared" si="39"/>
        <v>0</v>
      </c>
      <c r="I325" s="23"/>
      <c r="J325" s="23">
        <f t="shared" si="38"/>
        <v>0</v>
      </c>
      <c r="K325" s="23"/>
      <c r="L325" s="17">
        <f t="shared" si="40"/>
        <v>0</v>
      </c>
      <c r="M325" s="17">
        <f t="shared" si="41"/>
        <v>0</v>
      </c>
    </row>
    <row r="326" spans="1:16">
      <c r="A326" s="33"/>
      <c r="B326" s="34"/>
      <c r="C326" s="35"/>
      <c r="D326" s="36"/>
      <c r="E326" s="25"/>
      <c r="F326" s="12"/>
      <c r="G326" s="23"/>
      <c r="H326" s="17">
        <f t="shared" si="39"/>
        <v>0</v>
      </c>
      <c r="I326" s="23"/>
      <c r="J326" s="23">
        <f t="shared" si="38"/>
        <v>0</v>
      </c>
      <c r="K326" s="23"/>
      <c r="L326" s="17">
        <f t="shared" si="40"/>
        <v>0</v>
      </c>
      <c r="M326" s="17">
        <f t="shared" si="41"/>
        <v>0</v>
      </c>
    </row>
    <row r="327" spans="1:16">
      <c r="A327" s="33"/>
      <c r="B327" s="34"/>
      <c r="C327" s="35"/>
      <c r="D327" s="36"/>
      <c r="E327" s="26"/>
      <c r="F327" s="27"/>
      <c r="G327" s="19"/>
      <c r="H327" s="17">
        <f t="shared" si="39"/>
        <v>0</v>
      </c>
      <c r="I327" s="19"/>
      <c r="J327" s="23">
        <f t="shared" si="38"/>
        <v>0</v>
      </c>
      <c r="K327" s="19"/>
      <c r="L327" s="17">
        <f t="shared" si="40"/>
        <v>0</v>
      </c>
      <c r="M327" s="17">
        <f t="shared" si="41"/>
        <v>0</v>
      </c>
    </row>
    <row r="328" spans="1:16">
      <c r="A328" s="33"/>
      <c r="B328" s="34"/>
      <c r="C328" s="35"/>
      <c r="D328" s="36"/>
      <c r="E328" s="25"/>
      <c r="F328" s="12"/>
      <c r="G328" s="23"/>
      <c r="H328" s="17">
        <f t="shared" si="39"/>
        <v>0</v>
      </c>
      <c r="I328" s="23"/>
      <c r="J328" s="23">
        <f t="shared" si="38"/>
        <v>0</v>
      </c>
      <c r="K328" s="23"/>
      <c r="L328" s="17">
        <f t="shared" si="40"/>
        <v>0</v>
      </c>
      <c r="M328" s="17">
        <f t="shared" si="41"/>
        <v>0</v>
      </c>
      <c r="P328" t="s">
        <v>29</v>
      </c>
    </row>
    <row r="329" spans="1:16">
      <c r="A329" s="33"/>
      <c r="B329" s="34"/>
      <c r="C329" s="35"/>
      <c r="D329" s="36"/>
      <c r="E329" s="25"/>
      <c r="F329" s="12"/>
      <c r="G329" s="23"/>
      <c r="H329" s="17">
        <f t="shared" si="39"/>
        <v>0</v>
      </c>
      <c r="I329" s="23"/>
      <c r="J329" s="23">
        <f t="shared" si="38"/>
        <v>0</v>
      </c>
      <c r="K329" s="23"/>
      <c r="L329" s="17">
        <f t="shared" si="40"/>
        <v>0</v>
      </c>
      <c r="M329" s="17">
        <f t="shared" si="41"/>
        <v>0</v>
      </c>
    </row>
    <row r="330" spans="1:16">
      <c r="A330" s="33"/>
      <c r="B330" s="34"/>
      <c r="C330" s="35"/>
      <c r="D330" s="36"/>
      <c r="E330" s="25"/>
      <c r="F330" s="12"/>
      <c r="G330" s="23"/>
      <c r="H330" s="17">
        <f t="shared" si="39"/>
        <v>0</v>
      </c>
      <c r="I330" s="23"/>
      <c r="J330" s="23">
        <f t="shared" si="38"/>
        <v>0</v>
      </c>
      <c r="K330" s="23"/>
      <c r="L330" s="17">
        <f t="shared" si="40"/>
        <v>0</v>
      </c>
      <c r="M330" s="17">
        <f t="shared" si="41"/>
        <v>0</v>
      </c>
    </row>
    <row r="331" spans="1:16">
      <c r="A331" s="33"/>
      <c r="B331" s="34"/>
      <c r="C331" s="35"/>
      <c r="D331" s="36"/>
      <c r="E331" s="26"/>
      <c r="F331" s="27"/>
      <c r="G331" s="19"/>
      <c r="H331" s="17">
        <f t="shared" si="39"/>
        <v>0</v>
      </c>
      <c r="I331" s="19"/>
      <c r="J331" s="23">
        <f t="shared" si="38"/>
        <v>0</v>
      </c>
      <c r="K331" s="19"/>
      <c r="L331" s="17">
        <f t="shared" si="40"/>
        <v>0</v>
      </c>
      <c r="M331" s="17">
        <f t="shared" si="41"/>
        <v>0</v>
      </c>
    </row>
    <row r="332" spans="1:16">
      <c r="A332" s="33"/>
      <c r="B332" s="34"/>
      <c r="C332" s="35"/>
      <c r="D332" s="36"/>
      <c r="E332" s="25"/>
      <c r="F332" s="12"/>
      <c r="G332" s="23"/>
      <c r="H332" s="17">
        <f t="shared" si="39"/>
        <v>0</v>
      </c>
      <c r="I332" s="23"/>
      <c r="J332" s="23">
        <f t="shared" si="38"/>
        <v>0</v>
      </c>
      <c r="K332" s="23"/>
      <c r="L332" s="17">
        <f t="shared" si="40"/>
        <v>0</v>
      </c>
      <c r="M332" s="17">
        <f t="shared" si="41"/>
        <v>0</v>
      </c>
    </row>
    <row r="333" spans="1:16">
      <c r="A333" s="33"/>
      <c r="B333" s="34"/>
      <c r="C333" s="35"/>
      <c r="D333" s="36"/>
      <c r="E333" s="25"/>
      <c r="F333" s="12"/>
      <c r="G333" s="23"/>
      <c r="H333" s="17">
        <f t="shared" si="39"/>
        <v>0</v>
      </c>
      <c r="I333" s="23"/>
      <c r="J333" s="23">
        <f t="shared" si="38"/>
        <v>0</v>
      </c>
      <c r="K333" s="23"/>
      <c r="L333" s="17">
        <f t="shared" si="40"/>
        <v>0</v>
      </c>
      <c r="M333" s="17">
        <f t="shared" si="41"/>
        <v>0</v>
      </c>
    </row>
    <row r="334" spans="1:16">
      <c r="A334" s="33"/>
      <c r="B334" s="34"/>
      <c r="C334" s="35"/>
      <c r="D334" s="36"/>
      <c r="E334" s="26"/>
      <c r="F334" s="27"/>
      <c r="G334" s="19"/>
      <c r="H334" s="17">
        <f t="shared" si="39"/>
        <v>0</v>
      </c>
      <c r="I334" s="19"/>
      <c r="J334" s="23">
        <f t="shared" si="38"/>
        <v>0</v>
      </c>
      <c r="K334" s="19"/>
      <c r="L334" s="17">
        <f t="shared" si="40"/>
        <v>0</v>
      </c>
      <c r="M334" s="17">
        <f t="shared" si="41"/>
        <v>0</v>
      </c>
    </row>
    <row r="335" spans="1:16">
      <c r="A335" s="33"/>
      <c r="B335" s="34"/>
      <c r="C335" s="35"/>
      <c r="D335" s="36"/>
      <c r="E335" s="25"/>
      <c r="F335" s="12"/>
      <c r="G335" s="23"/>
      <c r="H335" s="17">
        <f t="shared" si="39"/>
        <v>0</v>
      </c>
      <c r="I335" s="23"/>
      <c r="J335" s="23">
        <f t="shared" si="38"/>
        <v>0</v>
      </c>
      <c r="K335" s="23"/>
      <c r="L335" s="17">
        <f t="shared" si="40"/>
        <v>0</v>
      </c>
      <c r="M335" s="17">
        <f t="shared" si="41"/>
        <v>0</v>
      </c>
    </row>
    <row r="336" spans="1:16">
      <c r="A336" s="33"/>
      <c r="B336" s="34"/>
      <c r="C336" s="35"/>
      <c r="D336" s="36"/>
      <c r="E336" s="25"/>
      <c r="F336" s="12"/>
      <c r="G336" s="23"/>
      <c r="H336" s="17">
        <f t="shared" si="39"/>
        <v>0</v>
      </c>
      <c r="I336" s="23"/>
      <c r="J336" s="23">
        <f t="shared" si="38"/>
        <v>0</v>
      </c>
      <c r="K336" s="23"/>
      <c r="L336" s="17">
        <f t="shared" si="40"/>
        <v>0</v>
      </c>
      <c r="M336" s="17">
        <f t="shared" si="41"/>
        <v>0</v>
      </c>
    </row>
    <row r="337" spans="1:13">
      <c r="A337" s="33"/>
      <c r="B337" s="34"/>
      <c r="C337" s="35"/>
      <c r="D337" s="36"/>
      <c r="E337" s="25"/>
      <c r="F337" s="12"/>
      <c r="G337" s="23"/>
      <c r="H337" s="17">
        <f t="shared" si="39"/>
        <v>0</v>
      </c>
      <c r="I337" s="23"/>
      <c r="J337" s="23">
        <f t="shared" si="38"/>
        <v>0</v>
      </c>
      <c r="K337" s="23"/>
      <c r="L337" s="17">
        <f t="shared" si="40"/>
        <v>0</v>
      </c>
      <c r="M337" s="17">
        <f t="shared" si="41"/>
        <v>0</v>
      </c>
    </row>
    <row r="338" spans="1:13">
      <c r="A338" s="33"/>
      <c r="B338" s="34"/>
      <c r="C338" s="35"/>
      <c r="D338" s="36"/>
      <c r="E338" s="25"/>
      <c r="F338" s="12"/>
      <c r="G338" s="23"/>
      <c r="H338" s="17">
        <f t="shared" si="39"/>
        <v>0</v>
      </c>
      <c r="I338" s="23"/>
      <c r="J338" s="23">
        <f t="shared" si="38"/>
        <v>0</v>
      </c>
      <c r="K338" s="23"/>
      <c r="L338" s="17">
        <f t="shared" si="40"/>
        <v>0</v>
      </c>
      <c r="M338" s="17">
        <f t="shared" si="41"/>
        <v>0</v>
      </c>
    </row>
    <row r="339" spans="1:13">
      <c r="A339" s="33"/>
      <c r="B339" s="34"/>
      <c r="C339" s="35"/>
      <c r="D339" s="36"/>
      <c r="E339" s="25"/>
      <c r="F339" s="12"/>
      <c r="G339" s="23"/>
      <c r="H339" s="17">
        <f t="shared" si="39"/>
        <v>0</v>
      </c>
      <c r="I339" s="23"/>
      <c r="J339" s="23">
        <f t="shared" si="38"/>
        <v>0</v>
      </c>
      <c r="K339" s="23"/>
      <c r="L339" s="17">
        <f t="shared" si="40"/>
        <v>0</v>
      </c>
      <c r="M339" s="17">
        <f t="shared" si="41"/>
        <v>0</v>
      </c>
    </row>
    <row r="340" spans="1:13">
      <c r="A340" s="33"/>
      <c r="B340" s="34"/>
      <c r="C340" s="35"/>
      <c r="D340" s="36"/>
      <c r="E340" s="25"/>
      <c r="F340" s="12"/>
      <c r="G340" s="23"/>
      <c r="H340" s="17">
        <f t="shared" si="39"/>
        <v>0</v>
      </c>
      <c r="I340" s="23"/>
      <c r="J340" s="23">
        <f t="shared" si="38"/>
        <v>0</v>
      </c>
      <c r="K340" s="23"/>
      <c r="L340" s="17">
        <f t="shared" si="40"/>
        <v>0</v>
      </c>
      <c r="M340" s="17">
        <f t="shared" si="41"/>
        <v>0</v>
      </c>
    </row>
    <row r="341" spans="1:13">
      <c r="A341" s="33"/>
      <c r="B341" s="34"/>
      <c r="C341" s="35"/>
      <c r="D341" s="36"/>
      <c r="E341" s="25"/>
      <c r="F341" s="12"/>
      <c r="G341" s="23"/>
      <c r="H341" s="17">
        <f t="shared" si="39"/>
        <v>0</v>
      </c>
      <c r="I341" s="23"/>
      <c r="J341" s="23">
        <f t="shared" si="38"/>
        <v>0</v>
      </c>
      <c r="K341" s="23"/>
      <c r="L341" s="17">
        <f t="shared" si="40"/>
        <v>0</v>
      </c>
      <c r="M341" s="17">
        <f t="shared" si="41"/>
        <v>0</v>
      </c>
    </row>
    <row r="342" spans="1:13">
      <c r="A342" s="33"/>
      <c r="B342" s="34"/>
      <c r="C342" s="35"/>
      <c r="D342" s="36"/>
      <c r="E342" s="25"/>
      <c r="F342" s="12"/>
      <c r="G342" s="23"/>
      <c r="H342" s="17">
        <f t="shared" si="39"/>
        <v>0</v>
      </c>
      <c r="I342" s="23"/>
      <c r="J342" s="23">
        <f t="shared" si="38"/>
        <v>0</v>
      </c>
      <c r="K342" s="23"/>
      <c r="L342" s="17">
        <f t="shared" si="40"/>
        <v>0</v>
      </c>
      <c r="M342" s="17">
        <f t="shared" si="41"/>
        <v>0</v>
      </c>
    </row>
    <row r="343" spans="1:13">
      <c r="A343" s="33"/>
      <c r="B343" s="34"/>
      <c r="C343" s="35"/>
      <c r="D343" s="36"/>
      <c r="E343" s="25"/>
      <c r="F343" s="12"/>
      <c r="G343" s="23"/>
      <c r="H343" s="17">
        <f t="shared" si="39"/>
        <v>0</v>
      </c>
      <c r="I343" s="23"/>
      <c r="J343" s="23">
        <f t="shared" si="38"/>
        <v>0</v>
      </c>
      <c r="K343" s="23"/>
      <c r="L343" s="17">
        <f t="shared" si="40"/>
        <v>0</v>
      </c>
      <c r="M343" s="17">
        <f t="shared" si="41"/>
        <v>0</v>
      </c>
    </row>
    <row r="344" spans="1:13">
      <c r="A344" s="33"/>
      <c r="B344" s="34"/>
      <c r="C344" s="35"/>
      <c r="D344" s="36"/>
      <c r="E344" s="25"/>
      <c r="F344" s="12"/>
      <c r="G344" s="23"/>
      <c r="H344" s="17">
        <f t="shared" si="39"/>
        <v>0</v>
      </c>
      <c r="I344" s="23"/>
      <c r="J344" s="23">
        <f t="shared" si="38"/>
        <v>0</v>
      </c>
      <c r="K344" s="23"/>
      <c r="L344" s="17">
        <f t="shared" si="40"/>
        <v>0</v>
      </c>
      <c r="M344" s="17">
        <f t="shared" si="41"/>
        <v>0</v>
      </c>
    </row>
    <row r="345" spans="1:13" ht="18" thickBot="1">
      <c r="A345" s="37"/>
      <c r="B345" s="38"/>
      <c r="C345" s="39"/>
      <c r="D345" s="40"/>
      <c r="E345" s="29"/>
      <c r="F345" s="13"/>
      <c r="G345" s="24"/>
      <c r="H345" s="17">
        <f t="shared" si="39"/>
        <v>0</v>
      </c>
      <c r="I345" s="24"/>
      <c r="J345" s="23">
        <f t="shared" si="38"/>
        <v>0</v>
      </c>
      <c r="K345" s="24"/>
      <c r="L345" s="17">
        <f t="shared" si="40"/>
        <v>0</v>
      </c>
      <c r="M345" s="17">
        <f t="shared" si="41"/>
        <v>0</v>
      </c>
    </row>
    <row r="346" spans="1:13" ht="19" thickTop="1" thickBot="1">
      <c r="A346" s="41" t="s">
        <v>28</v>
      </c>
      <c r="B346" s="42"/>
      <c r="C346" s="41"/>
      <c r="D346" s="42"/>
      <c r="E346" s="15"/>
      <c r="F346" s="15"/>
      <c r="G346" s="22"/>
      <c r="H346" s="22">
        <f>SUM(H323:H345)</f>
        <v>0</v>
      </c>
      <c r="I346" s="22"/>
      <c r="J346" s="22">
        <f>SUM(J323:J345)</f>
        <v>0</v>
      </c>
      <c r="K346" s="22"/>
      <c r="L346" s="22">
        <f>SUM(L323:L345)</f>
        <v>0</v>
      </c>
      <c r="M346" s="22">
        <f>SUM(M323:M345)</f>
        <v>0</v>
      </c>
    </row>
  </sheetData>
  <mergeCells count="653">
    <mergeCell ref="A160:B160"/>
    <mergeCell ref="C160:D160"/>
    <mergeCell ref="A161:B161"/>
    <mergeCell ref="C161:D161"/>
    <mergeCell ref="K28:M28"/>
    <mergeCell ref="K38:M38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A155:B155"/>
    <mergeCell ref="C155:D155"/>
    <mergeCell ref="A156:B156"/>
    <mergeCell ref="C156:D156"/>
    <mergeCell ref="A157:B157"/>
    <mergeCell ref="C157:D157"/>
    <mergeCell ref="A158:B158"/>
    <mergeCell ref="C158:D158"/>
    <mergeCell ref="A159:B159"/>
    <mergeCell ref="C159:D159"/>
    <mergeCell ref="A150:B150"/>
    <mergeCell ref="C150:D150"/>
    <mergeCell ref="A151:B151"/>
    <mergeCell ref="C151:D151"/>
    <mergeCell ref="A152:B152"/>
    <mergeCell ref="C152:D152"/>
    <mergeCell ref="A153:B153"/>
    <mergeCell ref="C153:D153"/>
    <mergeCell ref="A154:B154"/>
    <mergeCell ref="C154:D154"/>
    <mergeCell ref="A147:B148"/>
    <mergeCell ref="C147:D148"/>
    <mergeCell ref="E147:E148"/>
    <mergeCell ref="F147:F148"/>
    <mergeCell ref="G147:H147"/>
    <mergeCell ref="I147:J147"/>
    <mergeCell ref="K147:L147"/>
    <mergeCell ref="M147:M148"/>
    <mergeCell ref="A149:B149"/>
    <mergeCell ref="C149:D149"/>
    <mergeCell ref="A139:B139"/>
    <mergeCell ref="C139:D139"/>
    <mergeCell ref="A140:B140"/>
    <mergeCell ref="C140:D140"/>
    <mergeCell ref="A141:B141"/>
    <mergeCell ref="C141:D141"/>
    <mergeCell ref="A142:B142"/>
    <mergeCell ref="C142:D142"/>
    <mergeCell ref="A143:B143"/>
    <mergeCell ref="C143:D143"/>
    <mergeCell ref="A134:B134"/>
    <mergeCell ref="C134:D134"/>
    <mergeCell ref="A135:B135"/>
    <mergeCell ref="C135:D135"/>
    <mergeCell ref="A136:B136"/>
    <mergeCell ref="C136:D136"/>
    <mergeCell ref="A137:B137"/>
    <mergeCell ref="C137:D137"/>
    <mergeCell ref="A138:B138"/>
    <mergeCell ref="C138:D138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24:B124"/>
    <mergeCell ref="C124:D124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M118:M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14:B114"/>
    <mergeCell ref="C114:D114"/>
    <mergeCell ref="A118:B119"/>
    <mergeCell ref="C118:D119"/>
    <mergeCell ref="E118:E119"/>
    <mergeCell ref="F118:F119"/>
    <mergeCell ref="G118:H118"/>
    <mergeCell ref="I118:J118"/>
    <mergeCell ref="K118:L11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E89:E90"/>
    <mergeCell ref="F89:F90"/>
    <mergeCell ref="G89:H89"/>
    <mergeCell ref="I89:J89"/>
    <mergeCell ref="K89:L89"/>
    <mergeCell ref="M89:M90"/>
    <mergeCell ref="A91:B91"/>
    <mergeCell ref="C91:D91"/>
    <mergeCell ref="A92:B92"/>
    <mergeCell ref="C92:D92"/>
    <mergeCell ref="A82:B82"/>
    <mergeCell ref="C82:D82"/>
    <mergeCell ref="A83:B83"/>
    <mergeCell ref="K47:M47"/>
    <mergeCell ref="A44:C44"/>
    <mergeCell ref="G44:H44"/>
    <mergeCell ref="I44:J44"/>
    <mergeCell ref="K44:M44"/>
    <mergeCell ref="A45:C45"/>
    <mergeCell ref="G45:H45"/>
    <mergeCell ref="A71:B71"/>
    <mergeCell ref="A72:B72"/>
    <mergeCell ref="C71:D71"/>
    <mergeCell ref="C72:D72"/>
    <mergeCell ref="I45:J45"/>
    <mergeCell ref="K45:M45"/>
    <mergeCell ref="G50:H50"/>
    <mergeCell ref="I50:J50"/>
    <mergeCell ref="K50:M50"/>
    <mergeCell ref="A51:C51"/>
    <mergeCell ref="G51:H51"/>
    <mergeCell ref="I51:J51"/>
    <mergeCell ref="K51:M51"/>
    <mergeCell ref="A48:C48"/>
    <mergeCell ref="I26:J26"/>
    <mergeCell ref="D31:J32"/>
    <mergeCell ref="A40:D40"/>
    <mergeCell ref="A41:D41"/>
    <mergeCell ref="C8:K9"/>
    <mergeCell ref="I25:J25"/>
    <mergeCell ref="I24:J24"/>
    <mergeCell ref="I23:J23"/>
    <mergeCell ref="I22:J22"/>
    <mergeCell ref="K26:M26"/>
    <mergeCell ref="K25:M25"/>
    <mergeCell ref="K24:M24"/>
    <mergeCell ref="K23:M23"/>
    <mergeCell ref="K22:M22"/>
    <mergeCell ref="I33:J33"/>
    <mergeCell ref="K33:M33"/>
    <mergeCell ref="I34:J34"/>
    <mergeCell ref="I35:J35"/>
    <mergeCell ref="I36:J36"/>
    <mergeCell ref="I37:J37"/>
    <mergeCell ref="A35:C35"/>
    <mergeCell ref="A37:C37"/>
    <mergeCell ref="E40:M40"/>
    <mergeCell ref="E41:M41"/>
    <mergeCell ref="G48:H48"/>
    <mergeCell ref="I48:J48"/>
    <mergeCell ref="K48:M48"/>
    <mergeCell ref="A49:C49"/>
    <mergeCell ref="G49:H49"/>
    <mergeCell ref="I49:J49"/>
    <mergeCell ref="K49:M49"/>
    <mergeCell ref="A46:C46"/>
    <mergeCell ref="G46:H46"/>
    <mergeCell ref="I46:J46"/>
    <mergeCell ref="K46:M46"/>
    <mergeCell ref="A47:C47"/>
    <mergeCell ref="G47:H47"/>
    <mergeCell ref="I47:J47"/>
    <mergeCell ref="A56:C56"/>
    <mergeCell ref="G56:H56"/>
    <mergeCell ref="I56:J56"/>
    <mergeCell ref="K56:M56"/>
    <mergeCell ref="A42:D43"/>
    <mergeCell ref="E42:J43"/>
    <mergeCell ref="K42:M43"/>
    <mergeCell ref="A54:C54"/>
    <mergeCell ref="G54:H54"/>
    <mergeCell ref="I54:J54"/>
    <mergeCell ref="K54:M54"/>
    <mergeCell ref="A55:C55"/>
    <mergeCell ref="G55:H55"/>
    <mergeCell ref="I55:J55"/>
    <mergeCell ref="K55:M55"/>
    <mergeCell ref="A52:C52"/>
    <mergeCell ref="G52:H52"/>
    <mergeCell ref="I52:J52"/>
    <mergeCell ref="K52:M52"/>
    <mergeCell ref="A53:C53"/>
    <mergeCell ref="G53:H53"/>
    <mergeCell ref="I53:J53"/>
    <mergeCell ref="K53:M53"/>
    <mergeCell ref="A50:C50"/>
    <mergeCell ref="I60:J60"/>
    <mergeCell ref="K60:L60"/>
    <mergeCell ref="M60:M61"/>
    <mergeCell ref="A62:B62"/>
    <mergeCell ref="C62:D62"/>
    <mergeCell ref="A63:B63"/>
    <mergeCell ref="C63:D63"/>
    <mergeCell ref="A64:B64"/>
    <mergeCell ref="C64:D64"/>
    <mergeCell ref="F60:F61"/>
    <mergeCell ref="G60:H60"/>
    <mergeCell ref="A60:B61"/>
    <mergeCell ref="C60:D61"/>
    <mergeCell ref="E60:E61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70:B70"/>
    <mergeCell ref="C70:D70"/>
    <mergeCell ref="A73:B73"/>
    <mergeCell ref="C73:D73"/>
    <mergeCell ref="A74:B74"/>
    <mergeCell ref="C74:D74"/>
    <mergeCell ref="A75:B75"/>
    <mergeCell ref="C75:D75"/>
    <mergeCell ref="A76:B76"/>
    <mergeCell ref="C76:D76"/>
    <mergeCell ref="A170:B170"/>
    <mergeCell ref="C169:D169"/>
    <mergeCell ref="A169:B169"/>
    <mergeCell ref="C168:D168"/>
    <mergeCell ref="A168:B168"/>
    <mergeCell ref="C83:D83"/>
    <mergeCell ref="A84:B84"/>
    <mergeCell ref="C84:D84"/>
    <mergeCell ref="A85:B85"/>
    <mergeCell ref="C85:D85"/>
    <mergeCell ref="A89:B90"/>
    <mergeCell ref="C89:D90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C162:D162"/>
    <mergeCell ref="A162:B162"/>
    <mergeCell ref="A176:B177"/>
    <mergeCell ref="C176:D177"/>
    <mergeCell ref="E176:E177"/>
    <mergeCell ref="F176:F177"/>
    <mergeCell ref="G176:H176"/>
    <mergeCell ref="I176:J176"/>
    <mergeCell ref="K176:L176"/>
    <mergeCell ref="C167:D167"/>
    <mergeCell ref="A167:B167"/>
    <mergeCell ref="C166:D166"/>
    <mergeCell ref="A166:B166"/>
    <mergeCell ref="C165:D165"/>
    <mergeCell ref="A165:B165"/>
    <mergeCell ref="C164:D164"/>
    <mergeCell ref="A164:B164"/>
    <mergeCell ref="C163:D163"/>
    <mergeCell ref="A163:B163"/>
    <mergeCell ref="C172:D172"/>
    <mergeCell ref="A172:B172"/>
    <mergeCell ref="C171:D171"/>
    <mergeCell ref="A171:B171"/>
    <mergeCell ref="C170:D170"/>
    <mergeCell ref="M176:M177"/>
    <mergeCell ref="A178:B178"/>
    <mergeCell ref="C178:D178"/>
    <mergeCell ref="A179:B179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A184:B184"/>
    <mergeCell ref="C184:D184"/>
    <mergeCell ref="A185:B185"/>
    <mergeCell ref="C185:D185"/>
    <mergeCell ref="A186:B186"/>
    <mergeCell ref="C186:D186"/>
    <mergeCell ref="A187:B187"/>
    <mergeCell ref="C187:D187"/>
    <mergeCell ref="A188:B188"/>
    <mergeCell ref="C188:D188"/>
    <mergeCell ref="A189:B189"/>
    <mergeCell ref="C189:D189"/>
    <mergeCell ref="A190:B190"/>
    <mergeCell ref="C190:D190"/>
    <mergeCell ref="A191:B191"/>
    <mergeCell ref="C191:D191"/>
    <mergeCell ref="A192:B192"/>
    <mergeCell ref="C192:D192"/>
    <mergeCell ref="A193:B193"/>
    <mergeCell ref="C193:D193"/>
    <mergeCell ref="A194:B194"/>
    <mergeCell ref="C194:D194"/>
    <mergeCell ref="A195:B195"/>
    <mergeCell ref="C195:D195"/>
    <mergeCell ref="A196:B196"/>
    <mergeCell ref="C196:D196"/>
    <mergeCell ref="A197:B197"/>
    <mergeCell ref="C197:D197"/>
    <mergeCell ref="A198:B198"/>
    <mergeCell ref="C198:D198"/>
    <mergeCell ref="A199:B199"/>
    <mergeCell ref="C199:D199"/>
    <mergeCell ref="A200:B200"/>
    <mergeCell ref="C200:D200"/>
    <mergeCell ref="A201:B201"/>
    <mergeCell ref="C201:D201"/>
    <mergeCell ref="A205:B206"/>
    <mergeCell ref="C205:D206"/>
    <mergeCell ref="E205:E206"/>
    <mergeCell ref="F205:F206"/>
    <mergeCell ref="G205:H205"/>
    <mergeCell ref="I205:J205"/>
    <mergeCell ref="K205:L205"/>
    <mergeCell ref="M205:M206"/>
    <mergeCell ref="A207:B207"/>
    <mergeCell ref="C207:D207"/>
    <mergeCell ref="A208:B208"/>
    <mergeCell ref="C208:D208"/>
    <mergeCell ref="A209:B209"/>
    <mergeCell ref="C209:D209"/>
    <mergeCell ref="A210:B210"/>
    <mergeCell ref="C210:D210"/>
    <mergeCell ref="A211:B211"/>
    <mergeCell ref="C211:D211"/>
    <mergeCell ref="A212:B212"/>
    <mergeCell ref="C212:D212"/>
    <mergeCell ref="A213:B213"/>
    <mergeCell ref="C213:D213"/>
    <mergeCell ref="A214:B214"/>
    <mergeCell ref="C214:D214"/>
    <mergeCell ref="A215:B215"/>
    <mergeCell ref="C215:D215"/>
    <mergeCell ref="A216:B216"/>
    <mergeCell ref="C216:D216"/>
    <mergeCell ref="A217:B217"/>
    <mergeCell ref="C217:D217"/>
    <mergeCell ref="A218:B218"/>
    <mergeCell ref="C218:D218"/>
    <mergeCell ref="A219:B219"/>
    <mergeCell ref="C219:D219"/>
    <mergeCell ref="A220:B220"/>
    <mergeCell ref="C220:D220"/>
    <mergeCell ref="A221:B221"/>
    <mergeCell ref="C221:D221"/>
    <mergeCell ref="A222:B222"/>
    <mergeCell ref="C222:D222"/>
    <mergeCell ref="A223:B223"/>
    <mergeCell ref="C223:D223"/>
    <mergeCell ref="A224:B224"/>
    <mergeCell ref="C224:D224"/>
    <mergeCell ref="A225:B225"/>
    <mergeCell ref="C225:D225"/>
    <mergeCell ref="A226:B226"/>
    <mergeCell ref="C226:D226"/>
    <mergeCell ref="A227:B227"/>
    <mergeCell ref="C227:D227"/>
    <mergeCell ref="A228:B228"/>
    <mergeCell ref="C228:D228"/>
    <mergeCell ref="A229:B229"/>
    <mergeCell ref="C229:D229"/>
    <mergeCell ref="A230:B230"/>
    <mergeCell ref="C230:D230"/>
    <mergeCell ref="A234:B235"/>
    <mergeCell ref="C234:D235"/>
    <mergeCell ref="E234:E235"/>
    <mergeCell ref="F234:F235"/>
    <mergeCell ref="G234:H234"/>
    <mergeCell ref="I234:J234"/>
    <mergeCell ref="K234:L234"/>
    <mergeCell ref="M234:M235"/>
    <mergeCell ref="A236:B236"/>
    <mergeCell ref="C236:D236"/>
    <mergeCell ref="A237:B237"/>
    <mergeCell ref="C237:D237"/>
    <mergeCell ref="A238:B238"/>
    <mergeCell ref="C238:D238"/>
    <mergeCell ref="A239:B239"/>
    <mergeCell ref="C239:D239"/>
    <mergeCell ref="A240:B240"/>
    <mergeCell ref="C240:D240"/>
    <mergeCell ref="A241:B241"/>
    <mergeCell ref="C241:D241"/>
    <mergeCell ref="A242:B242"/>
    <mergeCell ref="C242:D242"/>
    <mergeCell ref="A243:B243"/>
    <mergeCell ref="C243:D243"/>
    <mergeCell ref="A244:B244"/>
    <mergeCell ref="C244:D244"/>
    <mergeCell ref="A245:B245"/>
    <mergeCell ref="C245:D245"/>
    <mergeCell ref="A246:B246"/>
    <mergeCell ref="C246:D246"/>
    <mergeCell ref="A247:B247"/>
    <mergeCell ref="C247:D247"/>
    <mergeCell ref="A248:B248"/>
    <mergeCell ref="C248:D248"/>
    <mergeCell ref="A249:B249"/>
    <mergeCell ref="C249:D249"/>
    <mergeCell ref="A250:B250"/>
    <mergeCell ref="C250:D250"/>
    <mergeCell ref="A251:B251"/>
    <mergeCell ref="C251:D251"/>
    <mergeCell ref="A252:B252"/>
    <mergeCell ref="C252:D252"/>
    <mergeCell ref="A253:B253"/>
    <mergeCell ref="C253:D253"/>
    <mergeCell ref="A254:B254"/>
    <mergeCell ref="C254:D254"/>
    <mergeCell ref="A255:B255"/>
    <mergeCell ref="C255:D255"/>
    <mergeCell ref="A256:B256"/>
    <mergeCell ref="C256:D256"/>
    <mergeCell ref="A257:B257"/>
    <mergeCell ref="C257:D257"/>
    <mergeCell ref="A258:B258"/>
    <mergeCell ref="C258:D258"/>
    <mergeCell ref="A259:B259"/>
    <mergeCell ref="C259:D259"/>
    <mergeCell ref="A263:B264"/>
    <mergeCell ref="C263:D264"/>
    <mergeCell ref="E263:E264"/>
    <mergeCell ref="F263:F264"/>
    <mergeCell ref="G263:H263"/>
    <mergeCell ref="I263:J263"/>
    <mergeCell ref="K263:L263"/>
    <mergeCell ref="M263:M264"/>
    <mergeCell ref="A265:B265"/>
    <mergeCell ref="C265:D265"/>
    <mergeCell ref="A266:B266"/>
    <mergeCell ref="C266:D266"/>
    <mergeCell ref="A267:B267"/>
    <mergeCell ref="C267:D267"/>
    <mergeCell ref="A268:B268"/>
    <mergeCell ref="C268:D268"/>
    <mergeCell ref="A269:B269"/>
    <mergeCell ref="C269:D269"/>
    <mergeCell ref="A270:B270"/>
    <mergeCell ref="C270:D270"/>
    <mergeCell ref="A271:B271"/>
    <mergeCell ref="C271:D271"/>
    <mergeCell ref="A272:B272"/>
    <mergeCell ref="C272:D272"/>
    <mergeCell ref="A273:B273"/>
    <mergeCell ref="C273:D273"/>
    <mergeCell ref="A274:B274"/>
    <mergeCell ref="C274:D274"/>
    <mergeCell ref="A275:B275"/>
    <mergeCell ref="C275:D275"/>
    <mergeCell ref="A276:B276"/>
    <mergeCell ref="C276:D276"/>
    <mergeCell ref="A277:B277"/>
    <mergeCell ref="C277:D277"/>
    <mergeCell ref="A278:B278"/>
    <mergeCell ref="C278:D278"/>
    <mergeCell ref="A279:B279"/>
    <mergeCell ref="C279:D279"/>
    <mergeCell ref="A280:B280"/>
    <mergeCell ref="C280:D280"/>
    <mergeCell ref="A281:B281"/>
    <mergeCell ref="C281:D281"/>
    <mergeCell ref="A282:B282"/>
    <mergeCell ref="C282:D282"/>
    <mergeCell ref="A283:B283"/>
    <mergeCell ref="C283:D283"/>
    <mergeCell ref="A284:B284"/>
    <mergeCell ref="C284:D284"/>
    <mergeCell ref="A285:B285"/>
    <mergeCell ref="C285:D285"/>
    <mergeCell ref="A286:B286"/>
    <mergeCell ref="C286:D286"/>
    <mergeCell ref="A287:B287"/>
    <mergeCell ref="C287:D287"/>
    <mergeCell ref="A288:B288"/>
    <mergeCell ref="C288:D288"/>
    <mergeCell ref="A292:B293"/>
    <mergeCell ref="C292:D293"/>
    <mergeCell ref="E292:E293"/>
    <mergeCell ref="F292:F293"/>
    <mergeCell ref="G292:H292"/>
    <mergeCell ref="I292:J292"/>
    <mergeCell ref="K292:L292"/>
    <mergeCell ref="M292:M293"/>
    <mergeCell ref="A294:B294"/>
    <mergeCell ref="C294:D294"/>
    <mergeCell ref="A295:B295"/>
    <mergeCell ref="C295:D295"/>
    <mergeCell ref="A296:B296"/>
    <mergeCell ref="C296:D296"/>
    <mergeCell ref="A297:B297"/>
    <mergeCell ref="C297:D297"/>
    <mergeCell ref="A298:B298"/>
    <mergeCell ref="C298:D298"/>
    <mergeCell ref="A299:B299"/>
    <mergeCell ref="C299:D299"/>
    <mergeCell ref="A300:B300"/>
    <mergeCell ref="C300:D300"/>
    <mergeCell ref="A301:B301"/>
    <mergeCell ref="C301:D301"/>
    <mergeCell ref="A302:B302"/>
    <mergeCell ref="C302:D302"/>
    <mergeCell ref="A303:B303"/>
    <mergeCell ref="C303:D303"/>
    <mergeCell ref="A304:B304"/>
    <mergeCell ref="C304:D304"/>
    <mergeCell ref="A305:B305"/>
    <mergeCell ref="C305:D305"/>
    <mergeCell ref="A306:B306"/>
    <mergeCell ref="C306:D306"/>
    <mergeCell ref="A307:B307"/>
    <mergeCell ref="C307:D307"/>
    <mergeCell ref="A308:B308"/>
    <mergeCell ref="C308:D308"/>
    <mergeCell ref="A309:B309"/>
    <mergeCell ref="C309:D309"/>
    <mergeCell ref="A310:B310"/>
    <mergeCell ref="C310:D310"/>
    <mergeCell ref="A311:B311"/>
    <mergeCell ref="C311:D311"/>
    <mergeCell ref="A312:B312"/>
    <mergeCell ref="C312:D312"/>
    <mergeCell ref="A313:B313"/>
    <mergeCell ref="C313:D313"/>
    <mergeCell ref="A314:B314"/>
    <mergeCell ref="C314:D314"/>
    <mergeCell ref="A315:B315"/>
    <mergeCell ref="C315:D315"/>
    <mergeCell ref="A316:B316"/>
    <mergeCell ref="C316:D316"/>
    <mergeCell ref="A317:B317"/>
    <mergeCell ref="C317:D317"/>
    <mergeCell ref="A321:B322"/>
    <mergeCell ref="C321:D322"/>
    <mergeCell ref="E321:E322"/>
    <mergeCell ref="F321:F322"/>
    <mergeCell ref="G321:H321"/>
    <mergeCell ref="I321:J321"/>
    <mergeCell ref="K321:L321"/>
    <mergeCell ref="M321:M322"/>
    <mergeCell ref="A323:B323"/>
    <mergeCell ref="C323:D323"/>
    <mergeCell ref="A324:B324"/>
    <mergeCell ref="C324:D324"/>
    <mergeCell ref="A325:B325"/>
    <mergeCell ref="C325:D325"/>
    <mergeCell ref="A326:B326"/>
    <mergeCell ref="C326:D326"/>
    <mergeCell ref="A327:B327"/>
    <mergeCell ref="C327:D327"/>
    <mergeCell ref="A328:B328"/>
    <mergeCell ref="C328:D328"/>
    <mergeCell ref="A329:B329"/>
    <mergeCell ref="C329:D329"/>
    <mergeCell ref="A330:B330"/>
    <mergeCell ref="C330:D330"/>
    <mergeCell ref="A331:B331"/>
    <mergeCell ref="C331:D331"/>
    <mergeCell ref="A332:B332"/>
    <mergeCell ref="C332:D332"/>
    <mergeCell ref="A333:B333"/>
    <mergeCell ref="C333:D333"/>
    <mergeCell ref="A334:B334"/>
    <mergeCell ref="C334:D334"/>
    <mergeCell ref="A335:B335"/>
    <mergeCell ref="C335:D335"/>
    <mergeCell ref="A336:B336"/>
    <mergeCell ref="C336:D336"/>
    <mergeCell ref="A337:B337"/>
    <mergeCell ref="C337:D337"/>
    <mergeCell ref="A338:B338"/>
    <mergeCell ref="C338:D338"/>
    <mergeCell ref="A344:B344"/>
    <mergeCell ref="C344:D344"/>
    <mergeCell ref="A345:B345"/>
    <mergeCell ref="C345:D345"/>
    <mergeCell ref="A346:B346"/>
    <mergeCell ref="C346:D346"/>
    <mergeCell ref="A339:B339"/>
    <mergeCell ref="C339:D339"/>
    <mergeCell ref="A340:B340"/>
    <mergeCell ref="C340:D340"/>
    <mergeCell ref="A341:B341"/>
    <mergeCell ref="C341:D341"/>
    <mergeCell ref="A342:B342"/>
    <mergeCell ref="C342:D342"/>
    <mergeCell ref="A343:B343"/>
    <mergeCell ref="C343:D343"/>
  </mergeCells>
  <phoneticPr fontId="1" type="noConversion"/>
  <printOptions horizontalCentered="1" verticalCentered="1"/>
  <pageMargins left="0.25" right="0.25" top="0.75" bottom="0.75" header="0.3" footer="0.3"/>
  <pageSetup paperSize="9" scale="98" fitToWidth="0" orientation="landscape" horizontalDpi="360" verticalDpi="360" r:id="rId1"/>
  <rowBreaks count="2" manualBreakCount="2">
    <brk id="28" max="16383" man="1"/>
    <brk id="5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jinseung kim</cp:lastModifiedBy>
  <cp:lastPrinted>2024-03-15T05:03:43Z</cp:lastPrinted>
  <dcterms:created xsi:type="dcterms:W3CDTF">2024-03-08T06:36:56Z</dcterms:created>
  <dcterms:modified xsi:type="dcterms:W3CDTF">2026-02-24T03:16:32Z</dcterms:modified>
</cp:coreProperties>
</file>